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tables/table3.xml" ContentType="application/vnd.openxmlformats-officedocument.spreadsheetml.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4.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tables/table5.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09"/>
  <workbookPr hidePivotFieldList="1"/>
  <mc:AlternateContent xmlns:mc="http://schemas.openxmlformats.org/markup-compatibility/2006">
    <mc:Choice Requires="x15">
      <x15ac:absPath xmlns:x15ac="http://schemas.microsoft.com/office/spreadsheetml/2010/11/ac" url="/Users/kaileyespinoza/Downloads/"/>
    </mc:Choice>
  </mc:AlternateContent>
  <xr:revisionPtr revIDLastSave="0" documentId="13_ncr:1_{8EB30547-82C0-7C42-AB93-5B4AAD522860}" xr6:coauthVersionLast="47" xr6:coauthVersionMax="47" xr10:uidLastSave="{00000000-0000-0000-0000-000000000000}"/>
  <bookViews>
    <workbookView xWindow="140" yWindow="680" windowWidth="15420" windowHeight="16040" xr2:uid="{B7A9E44F-C932-DF47-ACF4-187CFDD422CD}"/>
  </bookViews>
  <sheets>
    <sheet name="Inventory" sheetId="6" r:id="rId1"/>
    <sheet name="Product" sheetId="2" r:id="rId2"/>
    <sheet name="Pivot_Hours" sheetId="23" r:id="rId3"/>
    <sheet name="Production_Log" sheetId="3" r:id="rId4"/>
    <sheet name="Pivot_Pricing" sheetId="10" r:id="rId5"/>
    <sheet name="Pivot_Gap" sheetId="14" r:id="rId6"/>
    <sheet name="Engagement" sheetId="4" r:id="rId7"/>
    <sheet name="Pivot_CostStructure" sheetId="16" r:id="rId8"/>
    <sheet name="Pivot_Engagement" sheetId="15" r:id="rId9"/>
    <sheet name="Labor_Value_Gap" sheetId="7" r:id="rId10"/>
    <sheet name="Dashboard" sheetId="20" r:id="rId11"/>
  </sheets>
  <definedNames>
    <definedName name="Slicer_Category">#N/A</definedName>
    <definedName name="Slicer_Product_Name">#N/A</definedName>
  </definedNames>
  <calcPr calcId="191029"/>
  <pivotCaches>
    <pivotCache cacheId="156" r:id="rId12"/>
    <pivotCache cacheId="245" r:id="rId13"/>
  </pivotCaches>
  <extLst>
    <ext xmlns:x14="http://schemas.microsoft.com/office/spreadsheetml/2009/9/main" uri="{BBE1A952-AA13-448e-AADC-164F8A28A991}">
      <x14:slicerCaches>
        <x14:slicerCache r:id="rId14"/>
        <x14:slicerCache r:id="rId1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<sst xmlns="http://schemas.openxmlformats.org/spreadsheetml/2006/main" count="348" uniqueCount="145">
  <si>
    <t>Yarn_ID</t>
  </si>
  <si>
    <t>Yarn_Name</t>
  </si>
  <si>
    <t>Color</t>
  </si>
  <si>
    <t>Apolo Eco 4/4 Cotton</t>
  </si>
  <si>
    <t xml:space="preserve"> Weight</t>
  </si>
  <si>
    <t xml:space="preserve"> Supplier</t>
  </si>
  <si>
    <t xml:space="preserve"> Cost_Per_Skein</t>
  </si>
  <si>
    <t xml:space="preserve"> Skeins_Remaining</t>
  </si>
  <si>
    <t>200g</t>
  </si>
  <si>
    <t>Michael's</t>
  </si>
  <si>
    <t xml:space="preserve"> Skeins_Purchased</t>
  </si>
  <si>
    <t xml:space="preserve"> Product_ID</t>
  </si>
  <si>
    <t xml:space="preserve"> Product_Name</t>
  </si>
  <si>
    <t xml:space="preserve"> Category</t>
  </si>
  <si>
    <t xml:space="preserve"> Complexity_Level</t>
  </si>
  <si>
    <t xml:space="preserve"> Main_Yarn_ID</t>
  </si>
  <si>
    <t xml:space="preserve"> Hours_to_Make</t>
  </si>
  <si>
    <t xml:space="preserve"> Material_Cost</t>
  </si>
  <si>
    <t xml:space="preserve"> Ethical_Price</t>
  </si>
  <si>
    <t>Market_Price</t>
  </si>
  <si>
    <t xml:space="preserve"> Start_Date</t>
  </si>
  <si>
    <t xml:space="preserve"> End_Date</t>
  </si>
  <si>
    <t xml:space="preserve"> Hours_Spent</t>
  </si>
  <si>
    <t xml:space="preserve"> Status</t>
  </si>
  <si>
    <t xml:space="preserve"> Notes</t>
  </si>
  <si>
    <t xml:space="preserve"> Post_ID</t>
  </si>
  <si>
    <t xml:space="preserve"> Post_Date</t>
  </si>
  <si>
    <t xml:space="preserve"> Platform</t>
  </si>
  <si>
    <t xml:space="preserve"> Saves</t>
  </si>
  <si>
    <t xml:space="preserve"> Comments</t>
  </si>
  <si>
    <t xml:space="preserve"> Non_Follower_Reach</t>
  </si>
  <si>
    <t>Material_Cost</t>
  </si>
  <si>
    <t xml:space="preserve"> Labor_Value_Gap</t>
  </si>
  <si>
    <t>Y001</t>
  </si>
  <si>
    <t>Y002</t>
  </si>
  <si>
    <t>Y003</t>
  </si>
  <si>
    <t>Y004</t>
  </si>
  <si>
    <t>Y005</t>
  </si>
  <si>
    <t>Y006</t>
  </si>
  <si>
    <t>Y007</t>
  </si>
  <si>
    <t>Y008</t>
  </si>
  <si>
    <t>Y009</t>
  </si>
  <si>
    <t>Y010</t>
  </si>
  <si>
    <t>Y011</t>
  </si>
  <si>
    <t>Y012</t>
  </si>
  <si>
    <t>Y013</t>
  </si>
  <si>
    <t>Y014</t>
  </si>
  <si>
    <t>Y015</t>
  </si>
  <si>
    <t>Y016</t>
  </si>
  <si>
    <t>Y017</t>
  </si>
  <si>
    <t>Y018</t>
  </si>
  <si>
    <t>Y019</t>
  </si>
  <si>
    <t>Y020</t>
  </si>
  <si>
    <t>Light Blue</t>
  </si>
  <si>
    <t>Pink</t>
  </si>
  <si>
    <t>White</t>
  </si>
  <si>
    <t>Yellow</t>
  </si>
  <si>
    <t>Orange</t>
  </si>
  <si>
    <t>Aunt Lydia's Classic 10</t>
  </si>
  <si>
    <t>60g</t>
  </si>
  <si>
    <t>Natural</t>
  </si>
  <si>
    <t>Black</t>
  </si>
  <si>
    <t>Loops &amp; Threads Acrylic Yarn</t>
  </si>
  <si>
    <t>198g</t>
  </si>
  <si>
    <t>Brown</t>
  </si>
  <si>
    <t>Light Green</t>
  </si>
  <si>
    <t>Cream</t>
  </si>
  <si>
    <t>Dark Blue</t>
  </si>
  <si>
    <t>Red</t>
  </si>
  <si>
    <t>Dark Green</t>
  </si>
  <si>
    <t>Black Squirrel Yarn</t>
  </si>
  <si>
    <t>P001</t>
  </si>
  <si>
    <t>P002</t>
  </si>
  <si>
    <t>P003</t>
  </si>
  <si>
    <t>P004</t>
  </si>
  <si>
    <t>P005</t>
  </si>
  <si>
    <t>P006</t>
  </si>
  <si>
    <t>P007</t>
  </si>
  <si>
    <t>P008</t>
  </si>
  <si>
    <t>P009</t>
  </si>
  <si>
    <t>P010</t>
  </si>
  <si>
    <t>P011</t>
  </si>
  <si>
    <t>Fringe Top</t>
  </si>
  <si>
    <t>Medium</t>
  </si>
  <si>
    <t>Hours_to_Make</t>
  </si>
  <si>
    <t>Bikini</t>
  </si>
  <si>
    <t>Tassel Belt</t>
  </si>
  <si>
    <t>Abstract Skirt</t>
  </si>
  <si>
    <t>Mesh Bag</t>
  </si>
  <si>
    <t>Fingerless Gloves</t>
  </si>
  <si>
    <t>Mini Shorts</t>
  </si>
  <si>
    <t>Skirt</t>
  </si>
  <si>
    <t>Mesh Tie</t>
  </si>
  <si>
    <t>Mesh Top</t>
  </si>
  <si>
    <t>Two-Piece</t>
  </si>
  <si>
    <t>Bottoms</t>
  </si>
  <si>
    <t>Tops</t>
  </si>
  <si>
    <t>Low</t>
  </si>
  <si>
    <t>Completed</t>
  </si>
  <si>
    <t>Finish before Valentines</t>
  </si>
  <si>
    <t>Reinforce Straps</t>
  </si>
  <si>
    <t>Gift</t>
  </si>
  <si>
    <t>In Progress</t>
  </si>
  <si>
    <t>Personal Project</t>
  </si>
  <si>
    <t>E001</t>
  </si>
  <si>
    <t>P012</t>
  </si>
  <si>
    <t>P013</t>
  </si>
  <si>
    <t>Tawny Set</t>
  </si>
  <si>
    <t>Daria Set</t>
  </si>
  <si>
    <t>Bodrum Top</t>
  </si>
  <si>
    <t>E002</t>
  </si>
  <si>
    <t>E003</t>
  </si>
  <si>
    <t>E004</t>
  </si>
  <si>
    <t>E005</t>
  </si>
  <si>
    <t>E006</t>
  </si>
  <si>
    <t>E007</t>
  </si>
  <si>
    <t>E008</t>
  </si>
  <si>
    <t>E009</t>
  </si>
  <si>
    <t>Accounts_Reached</t>
  </si>
  <si>
    <t>Likes</t>
  </si>
  <si>
    <t>Views</t>
  </si>
  <si>
    <t>Instagram Post</t>
  </si>
  <si>
    <t>Instagram Reels</t>
  </si>
  <si>
    <t>Row Labels</t>
  </si>
  <si>
    <t>Grand Total</t>
  </si>
  <si>
    <t>Average of Hours_to_Make</t>
  </si>
  <si>
    <t>Accessories</t>
  </si>
  <si>
    <t>Average of  Ethical_Price</t>
  </si>
  <si>
    <t>Average of Market_Price</t>
  </si>
  <si>
    <t>Labor_Value_Gap</t>
  </si>
  <si>
    <t>Average of Labor_Value_Gap</t>
  </si>
  <si>
    <t>Average of  Non_Follower_Reach</t>
  </si>
  <si>
    <t>Average of  Comments</t>
  </si>
  <si>
    <t>Average of  Saves</t>
  </si>
  <si>
    <t>Average of Likes</t>
  </si>
  <si>
    <t>Average of Accounts_Reached</t>
  </si>
  <si>
    <t>Average of Views</t>
  </si>
  <si>
    <t>Labor_Cost</t>
  </si>
  <si>
    <t>Average of Labor_Cost</t>
  </si>
  <si>
    <t>Average of  Material_Cost</t>
  </si>
  <si>
    <t>I Hate Monetizing My Art: A Crochet Feasability &amp; Creative Analysis</t>
  </si>
  <si>
    <t>Kailey Espinoza - kaileyespinozaa.myportfolio.com</t>
  </si>
  <si>
    <t>A data-driven study of labor, cost, engagement, and why monetization undervalues my work.</t>
  </si>
  <si>
    <t>High</t>
  </si>
  <si>
    <t>Key Insights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</si>
</sst>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6" formatCode="&quot;$&quot;#,##0_);[Red]\(&quot;$&quot;#,##0\)"/>
    <numFmt numFmtId="8" formatCode="&quot;$&quot;#,##0.00_);[Red]\(&quot;$&quot;#,##0.00\)"/>
    <numFmt numFmtId="168" formatCode="&quot;$&quot;#,##0.00"/>
  </numFmts>
  <fonts count="5" x14ac:knownFonts="1">
    <font>
      <sz val="12"/>
      <color theme="1"/>
      <name val="Century Gothic"/>
      <family val="2"/>
      <scheme val="minor"/>
    </font>
    <font>
      <sz val="8"/>
      <name val="Century Gothic"/>
      <family val="2"/>
      <scheme val="minor"/>
    </font>
    <font>
      <sz val="16"/>
      <color theme="1"/>
      <name val="Century Gothic"/>
      <scheme val="minor"/>
    </font>
    <font>
      <sz val="12"/>
      <color theme="2" tint="-0.89999084444715716"/>
      <name val="Century Gothic"/>
      <family val="2"/>
      <scheme val="minor"/>
    </font>
    <font>
      <b/>
      <sz val="16"/>
      <color theme="2" tint="-0.89999084444715716"/>
      <name val="Aptos Narrow (Body)"/>
    </font>
  </fonts>
  <fills count="2">
    <fill>
      <patternFill patternType="none"/>
    </fill>
    <fill>
      <patternFill patternType="gray125"/>
    </fill>
  </fills>
  <borders count="1">
    <border>
      <left/>
      <right/>
      <top/>
      <bottom/>
      <diagonal/>
    </border>
  </borders>
  <cellStyleXfs count="1">
    <xf numFmtId="0" fontId="0" fillId="0" borderId="0"/>
  </cellStyleXfs>
  <cellXfs count="15">
    <xf numFmtId="0" fontId="0" fillId="0" borderId="0" xfId="0"/>
    <xf numFmtId="6" fontId="0" fillId="0" borderId="0" xfId="0" applyNumberFormat="1"/>
    <xf numFmtId="8" fontId="0" fillId="0" borderId="0" xfId="0" applyNumberFormat="1"/>
    <xf numFmtId="14" fontId="0" fillId="0" borderId="0" xfId="0" applyNumberFormat="1"/>
    <xf numFmtId="16" fontId="0" fillId="0" borderId="0" xfId="0" applyNumberFormat="1"/>
    <xf numFmtId="3" fontId="0" fillId="0" borderId="0" xfId="0" applyNumberFormat="1"/>
    <xf numFmtId="0" fontId="0" fillId="0" borderId="0" xfId="0" pivotButton="1"/>
    <xf numFmtId="0" fontId="0" fillId="0" borderId="0" xfId="0" applyAlignment="1">
      <alignment horizontal="left"/>
    </xf>
    <xf numFmtId="0" fontId="0" fillId="0" borderId="0" xfId="0" applyNumberFormat="1"/>
    <xf numFmtId="10" fontId="0" fillId="0" borderId="0" xfId="0" applyNumberFormat="1"/>
    <xf numFmtId="0" fontId="0" fillId="0" borderId="0" xfId="0" applyAlignment="1">
      <alignment horizontal="center"/>
    </xf>
    <xf numFmtId="0" fontId="2" fillId="0" borderId="0" xfId="0" applyFont="1" applyAlignment="1">
      <alignment horizontal="center"/>
    </xf>
    <xf numFmtId="168" fontId="0" fillId="0" borderId="0" xfId="0" applyNumberFormat="1"/>
    <xf numFmtId="0" fontId="3" fillId="0" borderId="0" xfId="0" applyFont="1" applyAlignment="1">
      <alignment horizontal="center"/>
    </xf>
    <xf numFmtId="0" fontId="4" fillId="0" borderId="0" xfId="0" applyFont="1" applyAlignment="1">
      <alignment horizontal="center"/>
    </xf>
  </cellXfs>
  <cellStyles count="1">
    <cellStyle name="Normal" xfId="0" builtinId="0"/>
  </cellStyles>
  <dxfs count="5">
    <dxf>
      <numFmt numFmtId="168" formatCode="&quot;$&quot;#,##0.00"/>
    </dxf>
    <dxf>
      <numFmt numFmtId="168" formatCode="&quot;$&quot;#,##0.00"/>
    </dxf>
    <dxf>
      <numFmt numFmtId="14" formatCode="0.00%"/>
    </dxf>
    <dxf>
      <numFmt numFmtId="14" formatCode="0.00%"/>
    </dxf>
    <dxf>
      <numFmt numFmtId="14" formatCode="0.00%"/>
    </dxf>
  </dxfs>
  <tableStyles count="0" defaultTableStyle="TableStyleMedium2" defaultPivotStyle="PivotStyleLight16"/>
  <colors>
    <mruColors>
      <color rgb="FF00549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2.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07/relationships/slicerCache" Target="slicerCaches/slicerCache2.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[Crochet_Analytics.xlsx]Pivot_CostStructure!PivotTable15</c:name>
    <c:fmtId val="2"/>
  </c:pivotSource>
  <c:chart>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s>
    <c:plotArea>
      <c:layout>
        <c:manualLayout>
          <c:layoutTarget val="inner"/>
          <c:xMode val="edge"/>
          <c:yMode val="edge"/>
          <c:x val="3.6266630464295409E-2"/>
          <c:y val="5.7803468208092484E-2"/>
          <c:w val="0.47335423197492166"/>
          <c:h val="0.87283236994219648"/>
        </c:manualLayout>
      </c:layout>
      <c:doughnutChart>
        <c:varyColors val="1"/>
        <c:ser>
          <c:idx val="0"/>
          <c:order val="0"/>
          <c:tx>
            <c:strRef>
              <c:f>Pivot_CostStructure!$B$3</c:f>
              <c:strCache>
                <c:ptCount val="1"/>
                <c:pt idx="0">
                  <c:v>Average of Labor_Cost</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89D-9840-9B79-3EDBF24063E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89D-9840-9B79-3EDBF24063E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089D-9840-9B79-3EDBF24063ED}"/>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089D-9840-9B79-3EDBF24063ED}"/>
              </c:ext>
            </c:extLst>
          </c:dPt>
          <c:cat>
            <c:strRef>
              <c:f>Pivot_CostStructure!$A$4:$A$8</c:f>
              <c:strCache>
                <c:ptCount val="4"/>
                <c:pt idx="0">
                  <c:v>Accessories</c:v>
                </c:pt>
                <c:pt idx="1">
                  <c:v>Bottoms</c:v>
                </c:pt>
                <c:pt idx="2">
                  <c:v>Tops</c:v>
                </c:pt>
                <c:pt idx="3">
                  <c:v>Two-Piece</c:v>
                </c:pt>
              </c:strCache>
            </c:strRef>
          </c:cat>
          <c:val>
            <c:numRef>
              <c:f>Pivot_CostStructure!$B$4:$B$8</c:f>
              <c:numCache>
                <c:formatCode>"$"#,##0.00_);[Red]\("$"#,##0.00\)</c:formatCode>
                <c:ptCount val="4"/>
                <c:pt idx="0">
                  <c:v>57.540000000000006</c:v>
                </c:pt>
                <c:pt idx="1">
                  <c:v>108.68666666666667</c:v>
                </c:pt>
                <c:pt idx="2">
                  <c:v>115.08</c:v>
                </c:pt>
                <c:pt idx="3">
                  <c:v>127.86666666666667</c:v>
                </c:pt>
              </c:numCache>
            </c:numRef>
          </c:val>
          <c:extLst>
            <c:ext xmlns:c16="http://schemas.microsoft.com/office/drawing/2014/chart" uri="{C3380CC4-5D6E-409C-BE32-E72D297353CC}">
              <c16:uniqueId val="{00000008-089D-9840-9B79-3EDBF24063ED}"/>
            </c:ext>
          </c:extLst>
        </c:ser>
        <c:ser>
          <c:idx val="1"/>
          <c:order val="1"/>
          <c:tx>
            <c:strRef>
              <c:f>Pivot_CostStructure!$C$3</c:f>
              <c:strCache>
                <c:ptCount val="1"/>
                <c:pt idx="0">
                  <c:v>Average of  Material_Cost</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A-089D-9840-9B79-3EDBF24063E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C-089D-9840-9B79-3EDBF24063E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E-089D-9840-9B79-3EDBF24063ED}"/>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10-089D-9840-9B79-3EDBF24063ED}"/>
              </c:ext>
            </c:extLst>
          </c:dPt>
          <c:cat>
            <c:strRef>
              <c:f>Pivot_CostStructure!$A$4:$A$8</c:f>
              <c:strCache>
                <c:ptCount val="4"/>
                <c:pt idx="0">
                  <c:v>Accessories</c:v>
                </c:pt>
                <c:pt idx="1">
                  <c:v>Bottoms</c:v>
                </c:pt>
                <c:pt idx="2">
                  <c:v>Tops</c:v>
                </c:pt>
                <c:pt idx="3">
                  <c:v>Two-Piece</c:v>
                </c:pt>
              </c:strCache>
            </c:strRef>
          </c:cat>
          <c:val>
            <c:numRef>
              <c:f>Pivot_CostStructure!$C$4:$C$8</c:f>
              <c:numCache>
                <c:formatCode>"$"#,##0.00</c:formatCode>
                <c:ptCount val="4"/>
                <c:pt idx="0">
                  <c:v>8.0875000000000004</c:v>
                </c:pt>
                <c:pt idx="1">
                  <c:v>19.966666666666665</c:v>
                </c:pt>
                <c:pt idx="2">
                  <c:v>15.976666666666667</c:v>
                </c:pt>
                <c:pt idx="3">
                  <c:v>19.306666666666668</c:v>
                </c:pt>
              </c:numCache>
            </c:numRef>
          </c:val>
          <c:extLst>
            <c:ext xmlns:c16="http://schemas.microsoft.com/office/drawing/2014/chart" uri="{C3380CC4-5D6E-409C-BE32-E72D297353CC}">
              <c16:uniqueId val="{00000011-089D-9840-9B79-3EDBF24063ED}"/>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layout>
        <c:manualLayout>
          <c:xMode val="edge"/>
          <c:yMode val="edge"/>
          <c:x val="0.54588773973786187"/>
          <c:y val="0.50505621045924165"/>
          <c:w val="0.19078937624959891"/>
          <c:h val="0.3945114013927449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[Crochet_Analytics.xlsx]Pivot_Pricing!PivotTable5</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Pivot_Pricing!$B$3</c:f>
              <c:strCache>
                <c:ptCount val="1"/>
                <c:pt idx="0">
                  <c:v>Average of  Ethical_Price</c:v>
                </c:pt>
              </c:strCache>
            </c:strRef>
          </c:tx>
          <c:spPr>
            <a:solidFill>
              <a:schemeClr val="accent1"/>
            </a:solidFill>
            <a:ln>
              <a:noFill/>
            </a:ln>
            <a:effectLst/>
          </c:spPr>
          <c:invertIfNegative val="0"/>
          <c:cat>
            <c:strRef>
              <c:f>Pivot_Pricing!$A$4:$A$17</c:f>
              <c:strCache>
                <c:ptCount val="13"/>
                <c:pt idx="0">
                  <c:v>Abstract Skirt</c:v>
                </c:pt>
                <c:pt idx="1">
                  <c:v>Bikini</c:v>
                </c:pt>
                <c:pt idx="2">
                  <c:v>Fingerless Gloves</c:v>
                </c:pt>
                <c:pt idx="3">
                  <c:v>Fringe Top</c:v>
                </c:pt>
                <c:pt idx="4">
                  <c:v>Mesh Bag</c:v>
                </c:pt>
                <c:pt idx="5">
                  <c:v>Mesh Tie</c:v>
                </c:pt>
                <c:pt idx="6">
                  <c:v>Mesh Top</c:v>
                </c:pt>
                <c:pt idx="7">
                  <c:v>Mini Shorts</c:v>
                </c:pt>
                <c:pt idx="8">
                  <c:v>Skirt</c:v>
                </c:pt>
                <c:pt idx="9">
                  <c:v>Tassel Belt</c:v>
                </c:pt>
                <c:pt idx="10">
                  <c:v>Daria Set</c:v>
                </c:pt>
                <c:pt idx="11">
                  <c:v>Bodrum Top</c:v>
                </c:pt>
                <c:pt idx="12">
                  <c:v>Tawny Set</c:v>
                </c:pt>
              </c:strCache>
            </c:strRef>
          </c:cat>
          <c:val>
            <c:numRef>
              <c:f>Pivot_Pricing!$B$4:$B$17</c:f>
              <c:numCache>
                <c:formatCode>"$"#,##0.00_);[Red]\("$"#,##0.00\)</c:formatCode>
                <c:ptCount val="13"/>
                <c:pt idx="0">
                  <c:v>139.04</c:v>
                </c:pt>
                <c:pt idx="1">
                  <c:v>105.59</c:v>
                </c:pt>
                <c:pt idx="2">
                  <c:v>82.71</c:v>
                </c:pt>
                <c:pt idx="3">
                  <c:v>148.63999999999999</c:v>
                </c:pt>
                <c:pt idx="4">
                  <c:v>82.71</c:v>
                </c:pt>
                <c:pt idx="5">
                  <c:v>44.35</c:v>
                </c:pt>
                <c:pt idx="6">
                  <c:v>88.7</c:v>
                </c:pt>
                <c:pt idx="7">
                  <c:v>133.05000000000001</c:v>
                </c:pt>
                <c:pt idx="8">
                  <c:v>113.87</c:v>
                </c:pt>
                <c:pt idx="9">
                  <c:v>52.74</c:v>
                </c:pt>
                <c:pt idx="10">
                  <c:v>221.75</c:v>
                </c:pt>
                <c:pt idx="11">
                  <c:v>155.83000000000001</c:v>
                </c:pt>
                <c:pt idx="12">
                  <c:v>113.87</c:v>
                </c:pt>
              </c:numCache>
            </c:numRef>
          </c:val>
          <c:extLst>
            <c:ext xmlns:c16="http://schemas.microsoft.com/office/drawing/2014/chart" uri="{C3380CC4-5D6E-409C-BE32-E72D297353CC}">
              <c16:uniqueId val="{00000000-9F29-3D47-9CA8-E550BEAB0F2E}"/>
            </c:ext>
          </c:extLst>
        </c:ser>
        <c:ser>
          <c:idx val="1"/>
          <c:order val="1"/>
          <c:tx>
            <c:strRef>
              <c:f>Pivot_Pricing!$C$3</c:f>
              <c:strCache>
                <c:ptCount val="1"/>
                <c:pt idx="0">
                  <c:v>Average of Market_Price</c:v>
                </c:pt>
              </c:strCache>
            </c:strRef>
          </c:tx>
          <c:spPr>
            <a:solidFill>
              <a:schemeClr val="accent2"/>
            </a:solidFill>
            <a:ln>
              <a:noFill/>
            </a:ln>
            <a:effectLst/>
          </c:spPr>
          <c:invertIfNegative val="0"/>
          <c:cat>
            <c:strRef>
              <c:f>Pivot_Pricing!$A$4:$A$17</c:f>
              <c:strCache>
                <c:ptCount val="13"/>
                <c:pt idx="0">
                  <c:v>Abstract Skirt</c:v>
                </c:pt>
                <c:pt idx="1">
                  <c:v>Bikini</c:v>
                </c:pt>
                <c:pt idx="2">
                  <c:v>Fingerless Gloves</c:v>
                </c:pt>
                <c:pt idx="3">
                  <c:v>Fringe Top</c:v>
                </c:pt>
                <c:pt idx="4">
                  <c:v>Mesh Bag</c:v>
                </c:pt>
                <c:pt idx="5">
                  <c:v>Mesh Tie</c:v>
                </c:pt>
                <c:pt idx="6">
                  <c:v>Mesh Top</c:v>
                </c:pt>
                <c:pt idx="7">
                  <c:v>Mini Shorts</c:v>
                </c:pt>
                <c:pt idx="8">
                  <c:v>Skirt</c:v>
                </c:pt>
                <c:pt idx="9">
                  <c:v>Tassel Belt</c:v>
                </c:pt>
                <c:pt idx="10">
                  <c:v>Daria Set</c:v>
                </c:pt>
                <c:pt idx="11">
                  <c:v>Bodrum Top</c:v>
                </c:pt>
                <c:pt idx="12">
                  <c:v>Tawny Set</c:v>
                </c:pt>
              </c:strCache>
            </c:strRef>
          </c:cat>
          <c:val>
            <c:numRef>
              <c:f>Pivot_Pricing!$C$4:$C$17</c:f>
              <c:numCache>
                <c:formatCode>"$"#,##0_);[Red]\("$"#,##0\)</c:formatCode>
                <c:ptCount val="13"/>
                <c:pt idx="0">
                  <c:v>50</c:v>
                </c:pt>
                <c:pt idx="1">
                  <c:v>60</c:v>
                </c:pt>
                <c:pt idx="2">
                  <c:v>25</c:v>
                </c:pt>
                <c:pt idx="3">
                  <c:v>40</c:v>
                </c:pt>
                <c:pt idx="4">
                  <c:v>35</c:v>
                </c:pt>
                <c:pt idx="5">
                  <c:v>25</c:v>
                </c:pt>
                <c:pt idx="6">
                  <c:v>35</c:v>
                </c:pt>
                <c:pt idx="7">
                  <c:v>55</c:v>
                </c:pt>
                <c:pt idx="8">
                  <c:v>50</c:v>
                </c:pt>
                <c:pt idx="9">
                  <c:v>20</c:v>
                </c:pt>
                <c:pt idx="10">
                  <c:v>75</c:v>
                </c:pt>
                <c:pt idx="11">
                  <c:v>40</c:v>
                </c:pt>
                <c:pt idx="12">
                  <c:v>45</c:v>
                </c:pt>
              </c:numCache>
            </c:numRef>
          </c:val>
          <c:extLst>
            <c:ext xmlns:c16="http://schemas.microsoft.com/office/drawing/2014/chart" uri="{C3380CC4-5D6E-409C-BE32-E72D297353CC}">
              <c16:uniqueId val="{00000001-9F29-3D47-9CA8-E550BEAB0F2E}"/>
            </c:ext>
          </c:extLst>
        </c:ser>
        <c:dLbls>
          <c:showLegendKey val="0"/>
          <c:showVal val="0"/>
          <c:showCatName val="0"/>
          <c:showSerName val="0"/>
          <c:showPercent val="0"/>
          <c:showBubbleSize val="0"/>
        </c:dLbls>
        <c:gapWidth val="219"/>
        <c:overlap val="-27"/>
        <c:axId val="1018055168"/>
        <c:axId val="971576336"/>
      </c:barChart>
      <c:catAx>
        <c:axId val="10180551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1576336"/>
        <c:crosses val="autoZero"/>
        <c:auto val="1"/>
        <c:lblAlgn val="ctr"/>
        <c:lblOffset val="100"/>
        <c:noMultiLvlLbl val="0"/>
      </c:catAx>
      <c:valAx>
        <c:axId val="971576336"/>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_);[Red]\(&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8055168"/>
        <c:crosses val="autoZero"/>
        <c:crossBetween val="between"/>
      </c:valAx>
      <c:spPr>
        <a:noFill/>
        <a:ln>
          <a:noFill/>
        </a:ln>
        <a:effectLst/>
      </c:spPr>
    </c:plotArea>
    <c:legend>
      <c:legendPos val="r"/>
      <c:layout>
        <c:manualLayout>
          <c:xMode val="edge"/>
          <c:yMode val="edge"/>
          <c:x val="0.66664952097706054"/>
          <c:y val="0.41240185804112617"/>
          <c:w val="0.32406255332634504"/>
          <c:h val="0.2041434095885943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bg2">
                    <a:lumMod val="10000"/>
                  </a:schemeClr>
                </a:solidFill>
              </a:rPr>
              <a:t>Hours vs Engagement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Engagement!$G$5</c:f>
              <c:strCache>
                <c:ptCount val="1"/>
                <c:pt idx="0">
                  <c:v>Views</c:v>
                </c:pt>
              </c:strCache>
            </c:strRef>
          </c:tx>
          <c:spPr>
            <a:ln w="38100" cap="rnd">
              <a:noFill/>
              <a:round/>
            </a:ln>
            <a:effectLst/>
          </c:spPr>
          <c:marker>
            <c:symbol val="circle"/>
            <c:size val="5"/>
            <c:spPr>
              <a:solidFill>
                <a:schemeClr val="accent1"/>
              </a:solidFill>
              <a:ln w="9525">
                <a:solidFill>
                  <a:schemeClr val="accent1"/>
                </a:solidFill>
              </a:ln>
              <a:effectLst/>
            </c:spPr>
          </c:marker>
          <c:xVal>
            <c:multiLvlStrRef>
              <c:f>Engagement!$C$6:$F$14</c:f>
              <c:multiLvlStrCache>
                <c:ptCount val="9"/>
                <c:lvl>
                  <c:pt idx="0">
                    <c:v>Instagram Post</c:v>
                  </c:pt>
                  <c:pt idx="1">
                    <c:v>Instagram Post</c:v>
                  </c:pt>
                  <c:pt idx="2">
                    <c:v>Instagram Post</c:v>
                  </c:pt>
                  <c:pt idx="3">
                    <c:v>Instagram Post</c:v>
                  </c:pt>
                  <c:pt idx="4">
                    <c:v>Instagram Reels</c:v>
                  </c:pt>
                  <c:pt idx="5">
                    <c:v>Instagram Post</c:v>
                  </c:pt>
                  <c:pt idx="6">
                    <c:v>Instagram Post</c:v>
                  </c:pt>
                  <c:pt idx="7">
                    <c:v>Instagram Post</c:v>
                  </c:pt>
                  <c:pt idx="8">
                    <c:v>Instagram Post</c:v>
                  </c:pt>
                </c:lvl>
                <c:lvl>
                  <c:pt idx="0">
                    <c:v>1/1/25</c:v>
                  </c:pt>
                  <c:pt idx="1">
                    <c:v>5/31/25</c:v>
                  </c:pt>
                  <c:pt idx="2">
                    <c:v>5/31/25</c:v>
                  </c:pt>
                  <c:pt idx="3">
                    <c:v>5/31/25</c:v>
                  </c:pt>
                  <c:pt idx="4">
                    <c:v>9/1/25</c:v>
                  </c:pt>
                  <c:pt idx="5">
                    <c:v>9/1/25</c:v>
                  </c:pt>
                  <c:pt idx="6">
                    <c:v>9/1/25</c:v>
                  </c:pt>
                  <c:pt idx="7">
                    <c:v>9/22/25</c:v>
                  </c:pt>
                  <c:pt idx="8">
                    <c:v>9/22/25</c:v>
                  </c:pt>
                </c:lvl>
                <c:lvl>
                  <c:pt idx="0">
                    <c:v>P005</c:v>
                  </c:pt>
                  <c:pt idx="1">
                    <c:v>P011</c:v>
                  </c:pt>
                  <c:pt idx="2">
                    <c:v>P005</c:v>
                  </c:pt>
                  <c:pt idx="3">
                    <c:v>P011</c:v>
                  </c:pt>
                  <c:pt idx="4">
                    <c:v>P012</c:v>
                  </c:pt>
                  <c:pt idx="5">
                    <c:v>P012</c:v>
                  </c:pt>
                  <c:pt idx="6">
                    <c:v>P012</c:v>
                  </c:pt>
                  <c:pt idx="7">
                    <c:v>P013</c:v>
                  </c:pt>
                  <c:pt idx="8">
                    <c:v>P013</c:v>
                  </c:pt>
                </c:lvl>
                <c:lvl>
                  <c:pt idx="0">
                    <c:v>E001</c:v>
                  </c:pt>
                  <c:pt idx="1">
                    <c:v>E002</c:v>
                  </c:pt>
                  <c:pt idx="2">
                    <c:v>E003</c:v>
                  </c:pt>
                  <c:pt idx="3">
                    <c:v>E004</c:v>
                  </c:pt>
                  <c:pt idx="4">
                    <c:v>E005</c:v>
                  </c:pt>
                  <c:pt idx="5">
                    <c:v>E006</c:v>
                  </c:pt>
                  <c:pt idx="6">
                    <c:v>E007</c:v>
                  </c:pt>
                  <c:pt idx="7">
                    <c:v>E008</c:v>
                  </c:pt>
                  <c:pt idx="8">
                    <c:v>E009</c:v>
                  </c:pt>
                </c:lvl>
              </c:multiLvlStrCache>
            </c:multiLvlStrRef>
          </c:xVal>
          <c:yVal>
            <c:numRef>
              <c:f>Engagement!$G$6:$G$14</c:f>
              <c:numCache>
                <c:formatCode>#,##0</c:formatCode>
                <c:ptCount val="9"/>
                <c:pt idx="0">
                  <c:v>4892</c:v>
                </c:pt>
                <c:pt idx="1">
                  <c:v>2840</c:v>
                </c:pt>
                <c:pt idx="2">
                  <c:v>2540</c:v>
                </c:pt>
                <c:pt idx="3">
                  <c:v>3055</c:v>
                </c:pt>
                <c:pt idx="4">
                  <c:v>2846</c:v>
                </c:pt>
                <c:pt idx="5">
                  <c:v>3347</c:v>
                </c:pt>
                <c:pt idx="6">
                  <c:v>3424</c:v>
                </c:pt>
                <c:pt idx="7">
                  <c:v>2654</c:v>
                </c:pt>
                <c:pt idx="8">
                  <c:v>2590</c:v>
                </c:pt>
              </c:numCache>
            </c:numRef>
          </c:yVal>
          <c:smooth val="0"/>
          <c:extLst>
            <c:ext xmlns:c16="http://schemas.microsoft.com/office/drawing/2014/chart" uri="{C3380CC4-5D6E-409C-BE32-E72D297353CC}">
              <c16:uniqueId val="{00000000-E60D-A549-BAF9-C3BCFF050573}"/>
            </c:ext>
          </c:extLst>
        </c:ser>
        <c:ser>
          <c:idx val="6"/>
          <c:order val="1"/>
          <c:tx>
            <c:strRef>
              <c:f>Engagement!$M$5</c:f>
              <c:strCache>
                <c:ptCount val="1"/>
                <c:pt idx="0">
                  <c:v>Hours_to_Make</c:v>
                </c:pt>
              </c:strCache>
            </c:strRef>
          </c:tx>
          <c:spPr>
            <a:ln w="38100" cap="rnd">
              <a:noFill/>
              <a:round/>
            </a:ln>
            <a:effectLst/>
          </c:spPr>
          <c:marker>
            <c:symbol val="circle"/>
            <c:size val="5"/>
            <c:spPr>
              <a:solidFill>
                <a:schemeClr val="accent1">
                  <a:lumMod val="60000"/>
                </a:schemeClr>
              </a:solidFill>
              <a:ln w="9525">
                <a:solidFill>
                  <a:schemeClr val="accent1">
                    <a:lumMod val="60000"/>
                  </a:schemeClr>
                </a:solidFill>
              </a:ln>
              <a:effectLst/>
            </c:spPr>
          </c:marker>
          <c:xVal>
            <c:multiLvlStrRef>
              <c:f>Engagement!$C$6:$F$14</c:f>
              <c:multiLvlStrCache>
                <c:ptCount val="9"/>
                <c:lvl>
                  <c:pt idx="0">
                    <c:v>Instagram Post</c:v>
                  </c:pt>
                  <c:pt idx="1">
                    <c:v>Instagram Post</c:v>
                  </c:pt>
                  <c:pt idx="2">
                    <c:v>Instagram Post</c:v>
                  </c:pt>
                  <c:pt idx="3">
                    <c:v>Instagram Post</c:v>
                  </c:pt>
                  <c:pt idx="4">
                    <c:v>Instagram Reels</c:v>
                  </c:pt>
                  <c:pt idx="5">
                    <c:v>Instagram Post</c:v>
                  </c:pt>
                  <c:pt idx="6">
                    <c:v>Instagram Post</c:v>
                  </c:pt>
                  <c:pt idx="7">
                    <c:v>Instagram Post</c:v>
                  </c:pt>
                  <c:pt idx="8">
                    <c:v>Instagram Post</c:v>
                  </c:pt>
                </c:lvl>
                <c:lvl>
                  <c:pt idx="0">
                    <c:v>1/1/25</c:v>
                  </c:pt>
                  <c:pt idx="1">
                    <c:v>5/31/25</c:v>
                  </c:pt>
                  <c:pt idx="2">
                    <c:v>5/31/25</c:v>
                  </c:pt>
                  <c:pt idx="3">
                    <c:v>5/31/25</c:v>
                  </c:pt>
                  <c:pt idx="4">
                    <c:v>9/1/25</c:v>
                  </c:pt>
                  <c:pt idx="5">
                    <c:v>9/1/25</c:v>
                  </c:pt>
                  <c:pt idx="6">
                    <c:v>9/1/25</c:v>
                  </c:pt>
                  <c:pt idx="7">
                    <c:v>9/22/25</c:v>
                  </c:pt>
                  <c:pt idx="8">
                    <c:v>9/22/25</c:v>
                  </c:pt>
                </c:lvl>
                <c:lvl>
                  <c:pt idx="0">
                    <c:v>P005</c:v>
                  </c:pt>
                  <c:pt idx="1">
                    <c:v>P011</c:v>
                  </c:pt>
                  <c:pt idx="2">
                    <c:v>P005</c:v>
                  </c:pt>
                  <c:pt idx="3">
                    <c:v>P011</c:v>
                  </c:pt>
                  <c:pt idx="4">
                    <c:v>P012</c:v>
                  </c:pt>
                  <c:pt idx="5">
                    <c:v>P012</c:v>
                  </c:pt>
                  <c:pt idx="6">
                    <c:v>P012</c:v>
                  </c:pt>
                  <c:pt idx="7">
                    <c:v>P013</c:v>
                  </c:pt>
                  <c:pt idx="8">
                    <c:v>P013</c:v>
                  </c:pt>
                </c:lvl>
                <c:lvl>
                  <c:pt idx="0">
                    <c:v>E001</c:v>
                  </c:pt>
                  <c:pt idx="1">
                    <c:v>E002</c:v>
                  </c:pt>
                  <c:pt idx="2">
                    <c:v>E003</c:v>
                  </c:pt>
                  <c:pt idx="3">
                    <c:v>E004</c:v>
                  </c:pt>
                  <c:pt idx="4">
                    <c:v>E005</c:v>
                  </c:pt>
                  <c:pt idx="5">
                    <c:v>E006</c:v>
                  </c:pt>
                  <c:pt idx="6">
                    <c:v>E007</c:v>
                  </c:pt>
                  <c:pt idx="7">
                    <c:v>E008</c:v>
                  </c:pt>
                  <c:pt idx="8">
                    <c:v>E009</c:v>
                  </c:pt>
                </c:lvl>
              </c:multiLvlStrCache>
            </c:multiLvlStrRef>
          </c:xVal>
          <c:yVal>
            <c:numRef>
              <c:f>Engagement!$M$6:$M$14</c:f>
              <c:numCache>
                <c:formatCode>General</c:formatCode>
                <c:ptCount val="9"/>
                <c:pt idx="0">
                  <c:v>4</c:v>
                </c:pt>
                <c:pt idx="1">
                  <c:v>5</c:v>
                </c:pt>
                <c:pt idx="2">
                  <c:v>4</c:v>
                </c:pt>
                <c:pt idx="3">
                  <c:v>5</c:v>
                </c:pt>
                <c:pt idx="4">
                  <c:v>10</c:v>
                </c:pt>
                <c:pt idx="5">
                  <c:v>10</c:v>
                </c:pt>
                <c:pt idx="6">
                  <c:v>10</c:v>
                </c:pt>
                <c:pt idx="7">
                  <c:v>7</c:v>
                </c:pt>
                <c:pt idx="8">
                  <c:v>7</c:v>
                </c:pt>
              </c:numCache>
            </c:numRef>
          </c:yVal>
          <c:smooth val="0"/>
          <c:extLst>
            <c:ext xmlns:c16="http://schemas.microsoft.com/office/drawing/2014/chart" uri="{C3380CC4-5D6E-409C-BE32-E72D297353CC}">
              <c16:uniqueId val="{00000001-E60D-A549-BAF9-C3BCFF050573}"/>
            </c:ext>
          </c:extLst>
        </c:ser>
        <c:dLbls>
          <c:showLegendKey val="0"/>
          <c:showVal val="0"/>
          <c:showCatName val="0"/>
          <c:showSerName val="0"/>
          <c:showPercent val="0"/>
          <c:showBubbleSize val="0"/>
        </c:dLbls>
        <c:axId val="989755824"/>
        <c:axId val="989180496"/>
      </c:scatterChart>
      <c:valAx>
        <c:axId val="989755824"/>
        <c:scaling>
          <c:orientation val="minMax"/>
        </c:scaling>
        <c:delete val="0"/>
        <c:axPos val="b"/>
        <c:majorGridlines>
          <c:spPr>
            <a:ln w="9525" cap="flat" cmpd="sng" algn="ctr">
              <a:solidFill>
                <a:schemeClr val="tx1">
                  <a:lumMod val="15000"/>
                  <a:lumOff val="85000"/>
                </a:schemeClr>
              </a:solidFill>
              <a:round/>
            </a:ln>
            <a:effectLst/>
          </c:spPr>
        </c:majorGridlines>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9180496"/>
        <c:crosses val="autoZero"/>
        <c:crossBetween val="midCat"/>
      </c:valAx>
      <c:valAx>
        <c:axId val="989180496"/>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9755824"/>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[Crochet_Analytics.xlsx]Pivot_Gap!PivotTable13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bg2">
                    <a:lumMod val="10000"/>
                  </a:schemeClr>
                </a:solidFill>
              </a:rPr>
              <a:t>Labor-Value Gap by Product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Pivot_Gap!$B$3</c:f>
              <c:strCache>
                <c:ptCount val="1"/>
                <c:pt idx="0">
                  <c:v>Total</c:v>
                </c:pt>
              </c:strCache>
            </c:strRef>
          </c:tx>
          <c:spPr>
            <a:solidFill>
              <a:schemeClr val="accent1"/>
            </a:solidFill>
            <a:ln>
              <a:noFill/>
            </a:ln>
            <a:effectLst/>
          </c:spPr>
          <c:invertIfNegative val="0"/>
          <c:cat>
            <c:strRef>
              <c:f>Pivot_Gap!$A$4:$A$17</c:f>
              <c:strCache>
                <c:ptCount val="13"/>
                <c:pt idx="0">
                  <c:v>Abstract Skirt</c:v>
                </c:pt>
                <c:pt idx="1">
                  <c:v>Bikini</c:v>
                </c:pt>
                <c:pt idx="2">
                  <c:v>Fingerless Gloves</c:v>
                </c:pt>
                <c:pt idx="3">
                  <c:v>Fringe Top</c:v>
                </c:pt>
                <c:pt idx="4">
                  <c:v>Mesh Bag</c:v>
                </c:pt>
                <c:pt idx="5">
                  <c:v>Mesh Tie</c:v>
                </c:pt>
                <c:pt idx="6">
                  <c:v>Mesh Top</c:v>
                </c:pt>
                <c:pt idx="7">
                  <c:v>Mini Shorts</c:v>
                </c:pt>
                <c:pt idx="8">
                  <c:v>Skirt</c:v>
                </c:pt>
                <c:pt idx="9">
                  <c:v>Tassel Belt</c:v>
                </c:pt>
                <c:pt idx="10">
                  <c:v>Daria Set</c:v>
                </c:pt>
                <c:pt idx="11">
                  <c:v>Bodrum Top</c:v>
                </c:pt>
                <c:pt idx="12">
                  <c:v>Tawny Set</c:v>
                </c:pt>
              </c:strCache>
            </c:strRef>
          </c:cat>
          <c:val>
            <c:numRef>
              <c:f>Pivot_Gap!$B$4:$B$17</c:f>
              <c:numCache>
                <c:formatCode>"$"#,##0.00_);[Red]\("$"#,##0.00\)</c:formatCode>
                <c:ptCount val="13"/>
                <c:pt idx="0">
                  <c:v>115.08</c:v>
                </c:pt>
                <c:pt idx="1">
                  <c:v>95.59</c:v>
                </c:pt>
                <c:pt idx="2">
                  <c:v>76.72</c:v>
                </c:pt>
                <c:pt idx="3">
                  <c:v>108.64</c:v>
                </c:pt>
                <c:pt idx="4">
                  <c:v>76.72</c:v>
                </c:pt>
                <c:pt idx="5">
                  <c:v>38.36</c:v>
                </c:pt>
                <c:pt idx="6">
                  <c:v>76.72</c:v>
                </c:pt>
                <c:pt idx="7">
                  <c:v>115.08</c:v>
                </c:pt>
                <c:pt idx="8">
                  <c:v>95.9</c:v>
                </c:pt>
                <c:pt idx="9">
                  <c:v>38.36</c:v>
                </c:pt>
                <c:pt idx="10">
                  <c:v>146.75</c:v>
                </c:pt>
                <c:pt idx="11">
                  <c:v>115.83</c:v>
                </c:pt>
                <c:pt idx="12">
                  <c:v>95.9</c:v>
                </c:pt>
              </c:numCache>
            </c:numRef>
          </c:val>
          <c:extLst>
            <c:ext xmlns:c16="http://schemas.microsoft.com/office/drawing/2014/chart" uri="{C3380CC4-5D6E-409C-BE32-E72D297353CC}">
              <c16:uniqueId val="{00000000-99E1-514C-8ED3-647FCAB26CE8}"/>
            </c:ext>
          </c:extLst>
        </c:ser>
        <c:dLbls>
          <c:showLegendKey val="0"/>
          <c:showVal val="0"/>
          <c:showCatName val="0"/>
          <c:showSerName val="0"/>
          <c:showPercent val="0"/>
          <c:showBubbleSize val="0"/>
        </c:dLbls>
        <c:gapWidth val="219"/>
        <c:overlap val="-27"/>
        <c:axId val="968016976"/>
        <c:axId val="661717824"/>
      </c:barChart>
      <c:catAx>
        <c:axId val="968016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1717824"/>
        <c:crosses val="autoZero"/>
        <c:auto val="1"/>
        <c:lblAlgn val="ctr"/>
        <c:lblOffset val="100"/>
        <c:noMultiLvlLbl val="0"/>
      </c:catAx>
      <c:valAx>
        <c:axId val="661717824"/>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_);[Red]\(&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80169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[Crochet_Analytics.xlsx]Pivot_Hours!PivotTable18</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bg2">
                    <a:lumMod val="10000"/>
                  </a:schemeClr>
                </a:solidFill>
              </a:rPr>
              <a:t>Average Hours Per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Pivot_Hours!$B$3</c:f>
              <c:strCache>
                <c:ptCount val="1"/>
                <c:pt idx="0">
                  <c:v>Total</c:v>
                </c:pt>
              </c:strCache>
            </c:strRef>
          </c:tx>
          <c:spPr>
            <a:solidFill>
              <a:schemeClr val="accent1"/>
            </a:solidFill>
            <a:ln>
              <a:noFill/>
            </a:ln>
            <a:effectLst/>
          </c:spPr>
          <c:invertIfNegative val="0"/>
          <c:cat>
            <c:strRef>
              <c:f>Pivot_Hours!$A$4:$A$8</c:f>
              <c:strCache>
                <c:ptCount val="4"/>
                <c:pt idx="0">
                  <c:v>Accessories</c:v>
                </c:pt>
                <c:pt idx="1">
                  <c:v>Bottoms</c:v>
                </c:pt>
                <c:pt idx="2">
                  <c:v>Tops</c:v>
                </c:pt>
                <c:pt idx="3">
                  <c:v>Two-Piece</c:v>
                </c:pt>
              </c:strCache>
            </c:strRef>
          </c:cat>
          <c:val>
            <c:numRef>
              <c:f>Pivot_Hours!$B$4:$B$8</c:f>
              <c:numCache>
                <c:formatCode>General</c:formatCode>
                <c:ptCount val="4"/>
                <c:pt idx="0">
                  <c:v>3</c:v>
                </c:pt>
                <c:pt idx="1">
                  <c:v>5.666666666666667</c:v>
                </c:pt>
                <c:pt idx="2">
                  <c:v>6</c:v>
                </c:pt>
                <c:pt idx="3">
                  <c:v>6.666666666666667</c:v>
                </c:pt>
              </c:numCache>
            </c:numRef>
          </c:val>
          <c:extLst>
            <c:ext xmlns:c16="http://schemas.microsoft.com/office/drawing/2014/chart" uri="{C3380CC4-5D6E-409C-BE32-E72D297353CC}">
              <c16:uniqueId val="{00000000-0FD9-A549-AF31-A17965C03B71}"/>
            </c:ext>
          </c:extLst>
        </c:ser>
        <c:dLbls>
          <c:showLegendKey val="0"/>
          <c:showVal val="0"/>
          <c:showCatName val="0"/>
          <c:showSerName val="0"/>
          <c:showPercent val="0"/>
          <c:showBubbleSize val="0"/>
        </c:dLbls>
        <c:gapWidth val="219"/>
        <c:overlap val="-27"/>
        <c:axId val="1031079296"/>
        <c:axId val="1031265152"/>
      </c:barChart>
      <c:catAx>
        <c:axId val="10310792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1265152"/>
        <c:crosses val="autoZero"/>
        <c:auto val="1"/>
        <c:lblAlgn val="ctr"/>
        <c:lblOffset val="100"/>
        <c:noMultiLvlLbl val="0"/>
      </c:catAx>
      <c:valAx>
        <c:axId val="10312651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10792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oneCellAnchor>
    <xdr:from>
      <xdr:col>0</xdr:col>
      <xdr:colOff>165100</xdr:colOff>
      <xdr:row>4</xdr:row>
      <xdr:rowOff>38100</xdr:rowOff>
    </xdr:from>
    <xdr:ext cx="1638300" cy="584200"/>
    <xdr:sp macro="" textlink="">
      <xdr:nvSpPr>
        <xdr:cNvPr id="3" name="TextBox 2">
          <a:extLst>
            <a:ext uri="{FF2B5EF4-FFF2-40B4-BE49-F238E27FC236}">
              <a16:creationId xmlns:a16="http://schemas.microsoft.com/office/drawing/2014/main" id="{9D4B211A-604D-190A-9A0E-FB55E2245179}"/>
            </a:ext>
          </a:extLst>
        </xdr:cNvPr>
        <xdr:cNvSpPr txBox="1"/>
      </xdr:nvSpPr>
      <xdr:spPr>
        <a:xfrm>
          <a:off x="165100" y="850900"/>
          <a:ext cx="1638300" cy="5842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US" sz="1100" b="1">
              <a:solidFill>
                <a:schemeClr val="bg2">
                  <a:lumMod val="10000"/>
                </a:schemeClr>
              </a:solidFill>
            </a:rPr>
            <a:t>Avg</a:t>
          </a:r>
          <a:r>
            <a:rPr lang="en-US" sz="1100" b="1" baseline="0">
              <a:solidFill>
                <a:schemeClr val="bg2">
                  <a:lumMod val="10000"/>
                </a:schemeClr>
              </a:solidFill>
            </a:rPr>
            <a:t> Hours per Piece</a:t>
          </a:r>
        </a:p>
        <a:p>
          <a:pPr algn="ctr"/>
          <a:r>
            <a:rPr lang="en-US" sz="2000" b="1" baseline="0">
              <a:solidFill>
                <a:schemeClr val="bg2">
                  <a:lumMod val="10000"/>
                </a:schemeClr>
              </a:solidFill>
            </a:rPr>
            <a:t>5.1 hrs</a:t>
          </a:r>
        </a:p>
      </xdr:txBody>
    </xdr:sp>
    <xdr:clientData/>
  </xdr:oneCellAnchor>
  <xdr:oneCellAnchor>
    <xdr:from>
      <xdr:col>2</xdr:col>
      <xdr:colOff>152400</xdr:colOff>
      <xdr:row>4</xdr:row>
      <xdr:rowOff>50800</xdr:rowOff>
    </xdr:from>
    <xdr:ext cx="1587500" cy="596900"/>
    <xdr:sp macro="" textlink="">
      <xdr:nvSpPr>
        <xdr:cNvPr id="4" name="TextBox 3">
          <a:extLst>
            <a:ext uri="{FF2B5EF4-FFF2-40B4-BE49-F238E27FC236}">
              <a16:creationId xmlns:a16="http://schemas.microsoft.com/office/drawing/2014/main" id="{40BD5C58-B4C0-EDBE-397F-D536F8747796}"/>
            </a:ext>
          </a:extLst>
        </xdr:cNvPr>
        <xdr:cNvSpPr txBox="1"/>
      </xdr:nvSpPr>
      <xdr:spPr>
        <a:xfrm>
          <a:off x="2057400" y="863600"/>
          <a:ext cx="1587500" cy="5969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US" sz="1100" b="1">
              <a:solidFill>
                <a:schemeClr val="bg2">
                  <a:lumMod val="10000"/>
                </a:schemeClr>
              </a:solidFill>
            </a:rPr>
            <a:t>Avg Market Price</a:t>
          </a:r>
        </a:p>
        <a:p>
          <a:pPr algn="ctr"/>
          <a:r>
            <a:rPr lang="en-US" sz="2000" b="1">
              <a:solidFill>
                <a:schemeClr val="bg2">
                  <a:lumMod val="10000"/>
                </a:schemeClr>
              </a:solidFill>
            </a:rPr>
            <a:t>$43</a:t>
          </a:r>
        </a:p>
      </xdr:txBody>
    </xdr:sp>
    <xdr:clientData/>
  </xdr:oneCellAnchor>
  <xdr:oneCellAnchor>
    <xdr:from>
      <xdr:col>4</xdr:col>
      <xdr:colOff>127000</xdr:colOff>
      <xdr:row>4</xdr:row>
      <xdr:rowOff>12700</xdr:rowOff>
    </xdr:from>
    <xdr:ext cx="1676400" cy="723900"/>
    <xdr:sp macro="" textlink="">
      <xdr:nvSpPr>
        <xdr:cNvPr id="5" name="TextBox 4">
          <a:extLst>
            <a:ext uri="{FF2B5EF4-FFF2-40B4-BE49-F238E27FC236}">
              <a16:creationId xmlns:a16="http://schemas.microsoft.com/office/drawing/2014/main" id="{335CBAE9-0070-8C48-94AD-BC0B7E305910}"/>
            </a:ext>
          </a:extLst>
        </xdr:cNvPr>
        <xdr:cNvSpPr txBox="1"/>
      </xdr:nvSpPr>
      <xdr:spPr>
        <a:xfrm>
          <a:off x="3937000" y="825500"/>
          <a:ext cx="1676400" cy="7239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US" sz="1100" b="1">
              <a:solidFill>
                <a:schemeClr val="bg2">
                  <a:lumMod val="10000"/>
                </a:schemeClr>
              </a:solidFill>
            </a:rPr>
            <a:t>Avg Ethical Price</a:t>
          </a:r>
        </a:p>
        <a:p>
          <a:pPr algn="ctr"/>
          <a:r>
            <a:rPr lang="en-US" sz="2000" b="1">
              <a:solidFill>
                <a:schemeClr val="bg2">
                  <a:lumMod val="10000"/>
                </a:schemeClr>
              </a:solidFill>
            </a:rPr>
            <a:t>$114.07</a:t>
          </a:r>
        </a:p>
      </xdr:txBody>
    </xdr:sp>
    <xdr:clientData/>
  </xdr:oneCellAnchor>
  <xdr:oneCellAnchor>
    <xdr:from>
      <xdr:col>6</xdr:col>
      <xdr:colOff>152400</xdr:colOff>
      <xdr:row>3</xdr:row>
      <xdr:rowOff>139700</xdr:rowOff>
    </xdr:from>
    <xdr:ext cx="1587500" cy="889000"/>
    <xdr:sp macro="" textlink="">
      <xdr:nvSpPr>
        <xdr:cNvPr id="6" name="TextBox 5">
          <a:extLst>
            <a:ext uri="{FF2B5EF4-FFF2-40B4-BE49-F238E27FC236}">
              <a16:creationId xmlns:a16="http://schemas.microsoft.com/office/drawing/2014/main" id="{C0774752-5EAD-0C4B-9019-6B7B82BB3AA1}"/>
            </a:ext>
          </a:extLst>
        </xdr:cNvPr>
        <xdr:cNvSpPr txBox="1"/>
      </xdr:nvSpPr>
      <xdr:spPr>
        <a:xfrm>
          <a:off x="5867400" y="749300"/>
          <a:ext cx="1587500" cy="8890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US" sz="1100" b="1">
              <a:solidFill>
                <a:schemeClr val="bg2">
                  <a:lumMod val="10000"/>
                </a:schemeClr>
              </a:solidFill>
            </a:rPr>
            <a:t>Avg</a:t>
          </a:r>
          <a:r>
            <a:rPr lang="en-US" sz="1100" b="1" baseline="0">
              <a:solidFill>
                <a:schemeClr val="bg2">
                  <a:lumMod val="10000"/>
                </a:schemeClr>
              </a:solidFill>
            </a:rPr>
            <a:t> Labor-Value Gap</a:t>
          </a:r>
        </a:p>
        <a:p>
          <a:pPr algn="ctr"/>
          <a:r>
            <a:rPr lang="en-US" sz="2000" b="1" baseline="0">
              <a:solidFill>
                <a:schemeClr val="bg2">
                  <a:lumMod val="10000"/>
                </a:schemeClr>
              </a:solidFill>
            </a:rPr>
            <a:t>$91.97</a:t>
          </a:r>
          <a:endParaRPr lang="en-US" sz="2000" b="1">
            <a:solidFill>
              <a:schemeClr val="bg2">
                <a:lumMod val="10000"/>
              </a:schemeClr>
            </a:solidFill>
          </a:endParaRPr>
        </a:p>
      </xdr:txBody>
    </xdr:sp>
    <xdr:clientData/>
  </xdr:oneCellAnchor>
  <xdr:oneCellAnchor>
    <xdr:from>
      <xdr:col>8</xdr:col>
      <xdr:colOff>114300</xdr:colOff>
      <xdr:row>3</xdr:row>
      <xdr:rowOff>152400</xdr:rowOff>
    </xdr:from>
    <xdr:ext cx="1587500" cy="787400"/>
    <xdr:sp macro="" textlink="">
      <xdr:nvSpPr>
        <xdr:cNvPr id="7" name="TextBox 6">
          <a:extLst>
            <a:ext uri="{FF2B5EF4-FFF2-40B4-BE49-F238E27FC236}">
              <a16:creationId xmlns:a16="http://schemas.microsoft.com/office/drawing/2014/main" id="{5144F83D-F194-2141-9073-68BFE01F016A}"/>
            </a:ext>
          </a:extLst>
        </xdr:cNvPr>
        <xdr:cNvSpPr txBox="1"/>
      </xdr:nvSpPr>
      <xdr:spPr>
        <a:xfrm>
          <a:off x="7734300" y="762000"/>
          <a:ext cx="1587500" cy="7874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US" sz="1100" b="1">
              <a:solidFill>
                <a:schemeClr val="bg2">
                  <a:lumMod val="10000"/>
                </a:schemeClr>
              </a:solidFill>
            </a:rPr>
            <a:t>Avg Non-Follower</a:t>
          </a:r>
          <a:r>
            <a:rPr lang="en-US" sz="1100" b="1" baseline="0">
              <a:solidFill>
                <a:schemeClr val="bg2">
                  <a:lumMod val="10000"/>
                </a:schemeClr>
              </a:solidFill>
            </a:rPr>
            <a:t> Reach</a:t>
          </a:r>
        </a:p>
        <a:p>
          <a:pPr algn="ctr"/>
          <a:r>
            <a:rPr lang="en-US" sz="2000" b="1">
              <a:solidFill>
                <a:schemeClr val="bg2">
                  <a:lumMod val="10000"/>
                </a:schemeClr>
              </a:solidFill>
            </a:rPr>
            <a:t>81%</a:t>
          </a:r>
        </a:p>
      </xdr:txBody>
    </xdr:sp>
    <xdr:clientData/>
  </xdr:oneCellAnchor>
  <xdr:twoCellAnchor>
    <xdr:from>
      <xdr:col>5</xdr:col>
      <xdr:colOff>38100</xdr:colOff>
      <xdr:row>9</xdr:row>
      <xdr:rowOff>25400</xdr:rowOff>
    </xdr:from>
    <xdr:to>
      <xdr:col>9</xdr:col>
      <xdr:colOff>787400</xdr:colOff>
      <xdr:row>19</xdr:row>
      <xdr:rowOff>190500</xdr:rowOff>
    </xdr:to>
    <xdr:graphicFrame macro="">
      <xdr:nvGraphicFramePr>
        <xdr:cNvPr id="11" name="Chart 10">
          <a:extLst>
            <a:ext uri="{FF2B5EF4-FFF2-40B4-BE49-F238E27FC236}">
              <a16:creationId xmlns:a16="http://schemas.microsoft.com/office/drawing/2014/main" id="{01399FF2-74C5-F644-8362-CC7D86A9E3C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152400</xdr:colOff>
      <xdr:row>9</xdr:row>
      <xdr:rowOff>165100</xdr:rowOff>
    </xdr:from>
    <xdr:to>
      <xdr:col>9</xdr:col>
      <xdr:colOff>622300</xdr:colOff>
      <xdr:row>13</xdr:row>
      <xdr:rowOff>177800</xdr:rowOff>
    </xdr:to>
    <xdr:sp macro="" textlink="">
      <xdr:nvSpPr>
        <xdr:cNvPr id="12" name="TextBox 11">
          <a:extLst>
            <a:ext uri="{FF2B5EF4-FFF2-40B4-BE49-F238E27FC236}">
              <a16:creationId xmlns:a16="http://schemas.microsoft.com/office/drawing/2014/main" id="{DD0015B7-A801-B581-A266-71D95A7600C7}"/>
            </a:ext>
          </a:extLst>
        </xdr:cNvPr>
        <xdr:cNvSpPr txBox="1"/>
      </xdr:nvSpPr>
      <xdr:spPr>
        <a:xfrm>
          <a:off x="6756400" y="1993900"/>
          <a:ext cx="1295400" cy="8255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chemeClr val="bg2">
                  <a:lumMod val="10000"/>
                </a:schemeClr>
              </a:solidFill>
            </a:rPr>
            <a:t>Labor vs Material Cost Share</a:t>
          </a:r>
        </a:p>
      </xdr:txBody>
    </xdr:sp>
    <xdr:clientData/>
  </xdr:twoCellAnchor>
  <xdr:twoCellAnchor>
    <xdr:from>
      <xdr:col>0</xdr:col>
      <xdr:colOff>0</xdr:colOff>
      <xdr:row>22</xdr:row>
      <xdr:rowOff>0</xdr:rowOff>
    </xdr:from>
    <xdr:to>
      <xdr:col>4</xdr:col>
      <xdr:colOff>812800</xdr:colOff>
      <xdr:row>30</xdr:row>
      <xdr:rowOff>165100</xdr:rowOff>
    </xdr:to>
    <xdr:graphicFrame macro="">
      <xdr:nvGraphicFramePr>
        <xdr:cNvPr id="13" name="Chart 12">
          <a:extLst>
            <a:ext uri="{FF2B5EF4-FFF2-40B4-BE49-F238E27FC236}">
              <a16:creationId xmlns:a16="http://schemas.microsoft.com/office/drawing/2014/main" id="{DAC9B51E-B3E1-2D43-8F1C-E45289B29AE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12700</xdr:colOff>
      <xdr:row>20</xdr:row>
      <xdr:rowOff>38100</xdr:rowOff>
    </xdr:from>
    <xdr:to>
      <xdr:col>4</xdr:col>
      <xdr:colOff>812800</xdr:colOff>
      <xdr:row>21</xdr:row>
      <xdr:rowOff>165100</xdr:rowOff>
    </xdr:to>
    <xdr:sp macro="" textlink="">
      <xdr:nvSpPr>
        <xdr:cNvPr id="14" name="TextBox 13">
          <a:extLst>
            <a:ext uri="{FF2B5EF4-FFF2-40B4-BE49-F238E27FC236}">
              <a16:creationId xmlns:a16="http://schemas.microsoft.com/office/drawing/2014/main" id="{C25D5FAC-9A88-FC61-5653-A5E1D1A674D1}"/>
            </a:ext>
          </a:extLst>
        </xdr:cNvPr>
        <xdr:cNvSpPr txBox="1"/>
      </xdr:nvSpPr>
      <xdr:spPr>
        <a:xfrm>
          <a:off x="12700" y="4102100"/>
          <a:ext cx="4102100" cy="3302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b="1">
              <a:solidFill>
                <a:schemeClr val="bg2">
                  <a:lumMod val="10000"/>
                </a:schemeClr>
              </a:solidFill>
            </a:rPr>
            <a:t>Ethical</a:t>
          </a:r>
          <a:r>
            <a:rPr lang="en-US" sz="1400" b="1" baseline="0">
              <a:solidFill>
                <a:schemeClr val="bg2">
                  <a:lumMod val="10000"/>
                </a:schemeClr>
              </a:solidFill>
            </a:rPr>
            <a:t> Price vs Market Price</a:t>
          </a:r>
          <a:endParaRPr lang="en-US" sz="1400" b="1">
            <a:solidFill>
              <a:schemeClr val="bg2">
                <a:lumMod val="10000"/>
              </a:schemeClr>
            </a:solidFill>
          </a:endParaRPr>
        </a:p>
      </xdr:txBody>
    </xdr:sp>
    <xdr:clientData/>
  </xdr:twoCellAnchor>
  <xdr:twoCellAnchor>
    <xdr:from>
      <xdr:col>5</xdr:col>
      <xdr:colOff>0</xdr:colOff>
      <xdr:row>20</xdr:row>
      <xdr:rowOff>0</xdr:rowOff>
    </xdr:from>
    <xdr:to>
      <xdr:col>9</xdr:col>
      <xdr:colOff>787400</xdr:colOff>
      <xdr:row>30</xdr:row>
      <xdr:rowOff>177800</xdr:rowOff>
    </xdr:to>
    <xdr:graphicFrame macro="">
      <xdr:nvGraphicFramePr>
        <xdr:cNvPr id="15" name="Chart 14">
          <a:extLst>
            <a:ext uri="{FF2B5EF4-FFF2-40B4-BE49-F238E27FC236}">
              <a16:creationId xmlns:a16="http://schemas.microsoft.com/office/drawing/2014/main" id="{AB41BAFF-9E6C-C24C-BD56-9A4D391A5AD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31</xdr:row>
      <xdr:rowOff>0</xdr:rowOff>
    </xdr:from>
    <xdr:to>
      <xdr:col>4</xdr:col>
      <xdr:colOff>812800</xdr:colOff>
      <xdr:row>41</xdr:row>
      <xdr:rowOff>165100</xdr:rowOff>
    </xdr:to>
    <xdr:graphicFrame macro="">
      <xdr:nvGraphicFramePr>
        <xdr:cNvPr id="16" name="Chart 15">
          <a:extLst>
            <a:ext uri="{FF2B5EF4-FFF2-40B4-BE49-F238E27FC236}">
              <a16:creationId xmlns:a16="http://schemas.microsoft.com/office/drawing/2014/main" id="{74485A09-6DC3-3940-AB44-E16302D833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190500</xdr:colOff>
      <xdr:row>45</xdr:row>
      <xdr:rowOff>127000</xdr:rowOff>
    </xdr:from>
    <xdr:to>
      <xdr:col>9</xdr:col>
      <xdr:colOff>469900</xdr:colOff>
      <xdr:row>64</xdr:row>
      <xdr:rowOff>177800</xdr:rowOff>
    </xdr:to>
    <xdr:sp macro="" textlink="">
      <xdr:nvSpPr>
        <xdr:cNvPr id="19" name="TextBox 18">
          <a:extLst>
            <a:ext uri="{FF2B5EF4-FFF2-40B4-BE49-F238E27FC236}">
              <a16:creationId xmlns:a16="http://schemas.microsoft.com/office/drawing/2014/main" id="{30DD5307-2CE0-C262-8B8D-7B262DBDAB2D}"/>
            </a:ext>
          </a:extLst>
        </xdr:cNvPr>
        <xdr:cNvSpPr txBox="1"/>
      </xdr:nvSpPr>
      <xdr:spPr>
        <a:xfrm>
          <a:off x="190500" y="9347200"/>
          <a:ext cx="7708900" cy="39116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100" b="1">
              <a:solidFill>
                <a:schemeClr val="bg2">
                  <a:lumMod val="10000"/>
                </a:schemeClr>
              </a:solidFill>
            </a:rPr>
            <a:t>1.</a:t>
          </a:r>
          <a:r>
            <a:rPr lang="en-US" sz="1100" b="1" baseline="0">
              <a:solidFill>
                <a:schemeClr val="bg2">
                  <a:lumMod val="10000"/>
                </a:schemeClr>
              </a:solidFill>
            </a:rPr>
            <a:t> Labor Dominates Cost</a:t>
          </a:r>
        </a:p>
        <a:p>
          <a:pPr algn="l"/>
          <a:r>
            <a:rPr lang="en-US" sz="1100" baseline="0">
              <a:solidFill>
                <a:schemeClr val="bg2">
                  <a:lumMod val="10000"/>
                </a:schemeClr>
              </a:solidFill>
            </a:rPr>
            <a:t>Labor accounts for ~87% of total production cost, while material accounts only for ~13%. This proves that crochet is labor-intensive, not material-expensive. </a:t>
          </a:r>
        </a:p>
        <a:p>
          <a:pPr algn="l"/>
          <a:endParaRPr lang="en-US" sz="1100" b="1" baseline="0">
            <a:solidFill>
              <a:schemeClr val="bg2">
                <a:lumMod val="10000"/>
              </a:schemeClr>
            </a:solidFill>
          </a:endParaRPr>
        </a:p>
        <a:p>
          <a:pPr algn="l"/>
          <a:r>
            <a:rPr lang="en-US" sz="1100" b="1" baseline="0">
              <a:solidFill>
                <a:schemeClr val="bg2">
                  <a:lumMod val="10000"/>
                </a:schemeClr>
              </a:solidFill>
            </a:rPr>
            <a:t>2. Ethical Pricing Is Not Market-Compatible</a:t>
          </a:r>
        </a:p>
        <a:p>
          <a:pPr algn="l"/>
          <a:r>
            <a:rPr lang="en-US" sz="1100" baseline="0">
              <a:solidFill>
                <a:schemeClr val="bg2">
                  <a:lumMod val="10000"/>
                </a:schemeClr>
              </a:solidFill>
            </a:rPr>
            <a:t>Ethical prices average around ~$114,  while market prices average ~$43. This creates an average labor-value gap of ~$71 per piece.</a:t>
          </a:r>
        </a:p>
        <a:p>
          <a:pPr algn="l"/>
          <a:endParaRPr lang="en-US" sz="1100" baseline="0">
            <a:solidFill>
              <a:schemeClr val="bg2">
                <a:lumMod val="10000"/>
              </a:schemeClr>
            </a:solidFill>
          </a:endParaRPr>
        </a:p>
        <a:p>
          <a:pPr algn="l"/>
          <a:r>
            <a:rPr lang="en-US" sz="1100" b="1" baseline="0">
              <a:solidFill>
                <a:schemeClr val="bg2">
                  <a:lumMod val="10000"/>
                </a:schemeClr>
              </a:solidFill>
            </a:rPr>
            <a:t>3. Engagement Does Not Equal Monetization</a:t>
          </a:r>
        </a:p>
        <a:p>
          <a:pPr algn="l"/>
          <a:r>
            <a:rPr lang="en-US" sz="1100" baseline="0">
              <a:solidFill>
                <a:schemeClr val="bg2">
                  <a:lumMod val="10000"/>
                </a:schemeClr>
              </a:solidFill>
            </a:rPr>
            <a:t>Even with strong social media non-follower reach (81% on average) and consistent views (~2.5k on average), engagement does not correlate with labor time or financial value.</a:t>
          </a:r>
        </a:p>
        <a:p>
          <a:pPr algn="l"/>
          <a:endParaRPr lang="en-US" sz="1100" b="1" baseline="0">
            <a:solidFill>
              <a:schemeClr val="bg2">
                <a:lumMod val="10000"/>
              </a:schemeClr>
            </a:solidFill>
          </a:endParaRPr>
        </a:p>
        <a:p>
          <a:pPr algn="l"/>
          <a:r>
            <a:rPr lang="en-US" sz="1100" b="1" baseline="0">
              <a:solidFill>
                <a:schemeClr val="bg2">
                  <a:lumMod val="10000"/>
                </a:schemeClr>
              </a:solidFill>
            </a:rPr>
            <a:t>4.  Monetization Would Require Undervaluing My Labor</a:t>
          </a:r>
        </a:p>
        <a:p>
          <a:pPr algn="l"/>
          <a:r>
            <a:rPr lang="en-US" sz="1100" baseline="0">
              <a:solidFill>
                <a:schemeClr val="bg2">
                  <a:lumMod val="10000"/>
                </a:schemeClr>
              </a:solidFill>
            </a:rPr>
            <a:t>To make crochet financially viable, I would need to underprice myself or charge market-level prices that are ethically mismatched with accessibility. Gven the calculations for an ethical price: I included Berkeley's hourly minimum wage multiplied by the hours taken to make each piece as well as adding in the cost for material. However, because the cost for material cannot be precise given the consideration of unused yarn, the gap between the hourly waged priced product and the market prices product is also enough to conclude my point on its own.</a:t>
          </a:r>
        </a:p>
        <a:p>
          <a:pPr algn="l"/>
          <a:endParaRPr lang="en-US" sz="1100" baseline="0">
            <a:solidFill>
              <a:schemeClr val="bg2">
                <a:lumMod val="10000"/>
              </a:schemeClr>
            </a:solidFill>
          </a:endParaRPr>
        </a:p>
        <a:p>
          <a:pPr algn="l"/>
          <a:r>
            <a:rPr lang="en-US" sz="1100" b="1" baseline="0">
              <a:solidFill>
                <a:schemeClr val="bg2">
                  <a:lumMod val="10000"/>
                </a:schemeClr>
              </a:solidFill>
            </a:rPr>
            <a:t>5. Art, Not Commerce </a:t>
          </a:r>
        </a:p>
        <a:p>
          <a:pPr algn="l"/>
          <a:r>
            <a:rPr lang="en-US" sz="1100" baseline="0">
              <a:solidFill>
                <a:schemeClr val="bg2">
                  <a:lumMod val="10000"/>
                </a:schemeClr>
              </a:solidFill>
            </a:rPr>
            <a:t>These findings justify intentionally keeping crochet as an art practice rather than a commerical venture. The data supports my decision to not monetize my creative work. </a:t>
          </a:r>
        </a:p>
        <a:p>
          <a:pPr algn="l"/>
          <a:endParaRPr lang="en-US" sz="1100" baseline="0"/>
        </a:p>
      </xdr:txBody>
    </xdr:sp>
    <xdr:clientData/>
  </xdr:twoCellAnchor>
  <xdr:twoCellAnchor>
    <xdr:from>
      <xdr:col>0</xdr:col>
      <xdr:colOff>12700</xdr:colOff>
      <xdr:row>9</xdr:row>
      <xdr:rowOff>25400</xdr:rowOff>
    </xdr:from>
    <xdr:to>
      <xdr:col>4</xdr:col>
      <xdr:colOff>774700</xdr:colOff>
      <xdr:row>20</xdr:row>
      <xdr:rowOff>0</xdr:rowOff>
    </xdr:to>
    <xdr:graphicFrame macro="">
      <xdr:nvGraphicFramePr>
        <xdr:cNvPr id="20" name="Chart 19">
          <a:extLst>
            <a:ext uri="{FF2B5EF4-FFF2-40B4-BE49-F238E27FC236}">
              <a16:creationId xmlns:a16="http://schemas.microsoft.com/office/drawing/2014/main" id="{BFAD707B-C9F5-8445-B21A-30DE1715570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7</xdr:col>
      <xdr:colOff>457200</xdr:colOff>
      <xdr:row>31</xdr:row>
      <xdr:rowOff>12700</xdr:rowOff>
    </xdr:from>
    <xdr:to>
      <xdr:col>9</xdr:col>
      <xdr:colOff>469900</xdr:colOff>
      <xdr:row>41</xdr:row>
      <xdr:rowOff>190500</xdr:rowOff>
    </xdr:to>
    <mc:AlternateContent xmlns:mc="http://schemas.openxmlformats.org/markup-compatibility/2006">
      <mc:Choice xmlns:a14="http://schemas.microsoft.com/office/drawing/2010/main" Requires="a14">
        <xdr:graphicFrame macro="">
          <xdr:nvGraphicFramePr>
            <xdr:cNvPr id="21" name=" Category 1">
              <a:extLst>
                <a:ext uri="{FF2B5EF4-FFF2-40B4-BE49-F238E27FC236}">
                  <a16:creationId xmlns:a16="http://schemas.microsoft.com/office/drawing/2014/main" id="{916BEA34-E8B3-504C-9EBB-0F2D66EE0613}"/>
                </a:ext>
              </a:extLst>
            </xdr:cNvPr>
            <xdr:cNvGraphicFramePr/>
          </xdr:nvGraphicFramePr>
          <xdr:xfrm>
            <a:off x="0" y="0"/>
            <a:ext cx="0" cy="0"/>
          </xdr:xfrm>
          <a:graphic>
            <a:graphicData uri="http://schemas.microsoft.com/office/drawing/2010/slicer">
              <sle:slicer xmlns:sle="http://schemas.microsoft.com/office/drawing/2010/slicer" name=" Category 1"/>
            </a:graphicData>
          </a:graphic>
        </xdr:graphicFrame>
      </mc:Choice>
      <mc:Fallback>
        <xdr:sp macro="" textlink="">
          <xdr:nvSpPr>
            <xdr:cNvPr id="0" name=""/>
            <xdr:cNvSpPr>
              <a:spLocks noTextEdit="1"/>
            </xdr:cNvSpPr>
          </xdr:nvSpPr>
          <xdr:spPr>
            <a:xfrm>
              <a:off x="7124700" y="6311900"/>
              <a:ext cx="1917700" cy="22098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42163</xdr:colOff>
      <xdr:row>31</xdr:row>
      <xdr:rowOff>0</xdr:rowOff>
    </xdr:from>
    <xdr:to>
      <xdr:col>7</xdr:col>
      <xdr:colOff>156463</xdr:colOff>
      <xdr:row>41</xdr:row>
      <xdr:rowOff>190500</xdr:rowOff>
    </xdr:to>
    <mc:AlternateContent xmlns:mc="http://schemas.openxmlformats.org/markup-compatibility/2006">
      <mc:Choice xmlns:a14="http://schemas.microsoft.com/office/drawing/2010/main" Requires="a14">
        <xdr:graphicFrame macro="">
          <xdr:nvGraphicFramePr>
            <xdr:cNvPr id="22" name=" Product_Name 1">
              <a:extLst>
                <a:ext uri="{FF2B5EF4-FFF2-40B4-BE49-F238E27FC236}">
                  <a16:creationId xmlns:a16="http://schemas.microsoft.com/office/drawing/2014/main" id="{7A623F0B-A47F-924E-AD2E-072ACA623E4B}"/>
                </a:ext>
              </a:extLst>
            </xdr:cNvPr>
            <xdr:cNvGraphicFramePr/>
          </xdr:nvGraphicFramePr>
          <xdr:xfrm>
            <a:off x="0" y="0"/>
            <a:ext cx="0" cy="0"/>
          </xdr:xfrm>
          <a:graphic>
            <a:graphicData uri="http://schemas.microsoft.com/office/drawing/2010/slicer">
              <sle:slicer xmlns:sle="http://schemas.microsoft.com/office/drawing/2010/slicer" name=" Product_Name 1"/>
            </a:graphicData>
          </a:graphic>
        </xdr:graphicFrame>
      </mc:Choice>
      <mc:Fallback>
        <xdr:sp macro="" textlink="">
          <xdr:nvSpPr>
            <xdr:cNvPr id="0" name=""/>
            <xdr:cNvSpPr>
              <a:spLocks noTextEdit="1"/>
            </xdr:cNvSpPr>
          </xdr:nvSpPr>
          <xdr:spPr>
            <a:xfrm>
              <a:off x="4804663" y="6299200"/>
              <a:ext cx="2019300" cy="22225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ailey Espinoza" refreshedDate="46001.712769560188" createdVersion="8" refreshedVersion="8" minRefreshableVersion="3" recordCount="9" xr:uid="{6CADCE19-2F76-D045-BFEC-E1BC6772EE12}">
  <cacheSource type="worksheet">
    <worksheetSource name="Table11"/>
  </cacheSource>
  <cacheFields count="11">
    <cacheField name=" Post_ID" numFmtId="0">
      <sharedItems/>
    </cacheField>
    <cacheField name=" Product_ID" numFmtId="0">
      <sharedItems count="4">
        <s v="P005"/>
        <s v="P011"/>
        <s v="P012"/>
        <s v="P013"/>
      </sharedItems>
    </cacheField>
    <cacheField name=" Post_Date" numFmtId="14">
      <sharedItems containsSemiMixedTypes="0" containsNonDate="0" containsDate="1" containsString="0" minDate="2025-01-01T00:00:00" maxDate="2025-09-23T00:00:00"/>
    </cacheField>
    <cacheField name=" Platform" numFmtId="0">
      <sharedItems/>
    </cacheField>
    <cacheField name="Views" numFmtId="3">
      <sharedItems containsSemiMixedTypes="0" containsString="0" containsNumber="1" containsInteger="1" minValue="2540" maxValue="4892"/>
    </cacheField>
    <cacheField name="Accounts_Reached" numFmtId="0">
      <sharedItems containsSemiMixedTypes="0" containsString="0" containsNumber="1" containsInteger="1" minValue="411" maxValue="1820"/>
    </cacheField>
    <cacheField name="Likes" numFmtId="0">
      <sharedItems containsSemiMixedTypes="0" containsString="0" containsNumber="1" containsInteger="1" minValue="6" maxValue="43"/>
    </cacheField>
    <cacheField name=" Saves" numFmtId="0">
      <sharedItems containsSemiMixedTypes="0" containsString="0" containsNumber="1" containsInteger="1" minValue="0" maxValue="4"/>
    </cacheField>
    <cacheField name=" Comments" numFmtId="0">
      <sharedItems containsSemiMixedTypes="0" containsString="0" containsNumber="1" containsInteger="1" minValue="0" maxValue="11"/>
    </cacheField>
    <cacheField name=" Non_Follower_Reach" numFmtId="0">
      <sharedItems containsSemiMixedTypes="0" containsString="0" containsNumber="1" minValue="0.77" maxValue="0.89"/>
    </cacheField>
    <cacheField name="Hours_to_Make" numFmtId="0">
      <sharedItems containsSemiMixedTypes="0" containsString="0" containsNumber="1" containsInteger="1" minValue="4" maxValue="10"/>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ailey Espinoza" refreshedDate="46001.773705902779" createdVersion="8" refreshedVersion="8" minRefreshableVersion="3" recordCount="13" xr:uid="{B4494455-724B-3F4E-9B7C-B65E29542002}">
  <cacheSource type="worksheet">
    <worksheetSource name="Table9"/>
  </cacheSource>
  <cacheFields count="11">
    <cacheField name=" Product_ID" numFmtId="0">
      <sharedItems/>
    </cacheField>
    <cacheField name=" Product_Name" numFmtId="0">
      <sharedItems count="14">
        <s v="Fringe Top"/>
        <s v="Bikini"/>
        <s v="Tassel Belt"/>
        <s v="Abstract Skirt"/>
        <s v="Mesh Bag"/>
        <s v="Fingerless Gloves"/>
        <s v="Mini Shorts"/>
        <s v="Skirt"/>
        <s v="Mesh Tie"/>
        <s v="Mesh Top"/>
        <s v="Tawny Set"/>
        <s v="Daria Set"/>
        <s v="Bodrum Top"/>
        <s v="Granny Sqaure Bag" u="1"/>
      </sharedItems>
    </cacheField>
    <cacheField name=" Category" numFmtId="0">
      <sharedItems count="5">
        <s v="Tops"/>
        <s v="Two-Piece"/>
        <s v="Accessories"/>
        <s v="Bottoms"/>
        <s v="Accessory " u="1"/>
      </sharedItems>
    </cacheField>
    <cacheField name=" Complexity_Level" numFmtId="0">
      <sharedItems/>
    </cacheField>
    <cacheField name=" Main_Yarn_ID" numFmtId="0">
      <sharedItems/>
    </cacheField>
    <cacheField name="Hours_to_Make" numFmtId="0">
      <sharedItems containsSemiMixedTypes="0" containsString="0" containsNumber="1" containsInteger="1" minValue="2" maxValue="10"/>
    </cacheField>
    <cacheField name=" Material_Cost" numFmtId="0">
      <sharedItems containsSemiMixedTypes="0" containsString="0" containsNumber="1" minValue="5.99" maxValue="29.95"/>
    </cacheField>
    <cacheField name="Market_Price" numFmtId="6">
      <sharedItems containsSemiMixedTypes="0" containsString="0" containsNumber="1" containsInteger="1" minValue="20" maxValue="75"/>
    </cacheField>
    <cacheField name=" Ethical_Price" numFmtId="8">
      <sharedItems containsSemiMixedTypes="0" containsString="0" containsNumber="1" minValue="44.35" maxValue="221.75"/>
    </cacheField>
    <cacheField name="Labor_Value_Gap" numFmtId="8">
      <sharedItems containsSemiMixedTypes="0" containsString="0" containsNumber="1" minValue="38.36" maxValue="146.75"/>
    </cacheField>
    <cacheField name="Labor_Cost" numFmtId="8">
      <sharedItems containsSemiMixedTypes="0" containsString="0" containsNumber="1" minValue="38.36" maxValue="191.8"/>
    </cacheField>
  </cacheFields>
  <extLst>
    <ext xmlns:x14="http://schemas.microsoft.com/office/spreadsheetml/2009/9/main" uri="{725AE2AE-9491-48be-B2B4-4EB974FC3084}">
      <x14:pivotCacheDefinition pivotCacheId="203540173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
  <r>
    <s v="E001"/>
    <x v="0"/>
    <d v="2025-01-01T00:00:00"/>
    <s v="Instagram Post"/>
    <n v="4892"/>
    <n v="1345"/>
    <n v="43"/>
    <n v="4"/>
    <n v="11"/>
    <n v="0.87"/>
    <n v="4"/>
  </r>
  <r>
    <s v="E002"/>
    <x v="1"/>
    <d v="2025-05-31T00:00:00"/>
    <s v="Instagram Post"/>
    <n v="2840"/>
    <n v="564"/>
    <n v="6"/>
    <n v="0"/>
    <n v="0"/>
    <n v="0.83"/>
    <n v="5"/>
  </r>
  <r>
    <s v="E003"/>
    <x v="0"/>
    <d v="2025-05-31T00:00:00"/>
    <s v="Instagram Post"/>
    <n v="2540"/>
    <n v="456"/>
    <n v="14"/>
    <n v="0"/>
    <n v="2"/>
    <n v="0.8"/>
    <n v="4"/>
  </r>
  <r>
    <s v="E004"/>
    <x v="1"/>
    <d v="2025-05-31T00:00:00"/>
    <s v="Instagram Post"/>
    <n v="3055"/>
    <n v="480"/>
    <n v="14"/>
    <n v="0"/>
    <n v="0"/>
    <n v="0.79"/>
    <n v="5"/>
  </r>
  <r>
    <s v="E005"/>
    <x v="2"/>
    <d v="2025-09-01T00:00:00"/>
    <s v="Instagram Reels"/>
    <n v="2846"/>
    <n v="1820"/>
    <n v="27"/>
    <n v="2"/>
    <n v="10"/>
    <n v="0.89"/>
    <n v="10"/>
  </r>
  <r>
    <s v="E006"/>
    <x v="2"/>
    <d v="2025-09-01T00:00:00"/>
    <s v="Instagram Post"/>
    <n v="3347"/>
    <n v="478"/>
    <n v="17"/>
    <n v="1"/>
    <n v="2"/>
    <n v="0.77"/>
    <n v="10"/>
  </r>
  <r>
    <s v="E007"/>
    <x v="2"/>
    <d v="2025-09-01T00:00:00"/>
    <s v="Instagram Post"/>
    <n v="3424"/>
    <n v="555"/>
    <n v="15"/>
    <n v="2"/>
    <n v="0"/>
    <n v="0.78"/>
    <n v="10"/>
  </r>
  <r>
    <s v="E008"/>
    <x v="3"/>
    <d v="2025-09-22T00:00:00"/>
    <s v="Instagram Post"/>
    <n v="2654"/>
    <n v="429"/>
    <n v="20"/>
    <n v="0"/>
    <n v="0"/>
    <n v="0.77"/>
    <n v="7"/>
  </r>
  <r>
    <s v="E009"/>
    <x v="3"/>
    <d v="2025-09-22T00:00:00"/>
    <s v="Instagram Post"/>
    <n v="2590"/>
    <n v="411"/>
    <n v="20"/>
    <n v="2"/>
    <n v="4"/>
    <n v="0.78"/>
    <n v="7"/>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3">
  <r>
    <s v="P001"/>
    <x v="0"/>
    <x v="0"/>
    <s v="Medium"/>
    <s v="Y007"/>
    <n v="7"/>
    <n v="14.38"/>
    <n v="40"/>
    <n v="148.63999999999999"/>
    <n v="108.64"/>
    <n v="134.26"/>
  </r>
  <r>
    <s v="P002"/>
    <x v="1"/>
    <x v="1"/>
    <s v="Low"/>
    <s v="Y002"/>
    <n v="5"/>
    <n v="10"/>
    <n v="60"/>
    <n v="105.59"/>
    <n v="95.59"/>
    <n v="95.9"/>
  </r>
  <r>
    <s v="P003"/>
    <x v="2"/>
    <x v="2"/>
    <s v="Low"/>
    <s v="Y008"/>
    <n v="2"/>
    <n v="14.38"/>
    <n v="20"/>
    <n v="52.74"/>
    <n v="38.36"/>
    <n v="38.36"/>
  </r>
  <r>
    <s v="P004"/>
    <x v="3"/>
    <x v="3"/>
    <s v="Medium"/>
    <s v="Y011"/>
    <n v="6"/>
    <n v="23.96"/>
    <n v="50"/>
    <n v="139.04"/>
    <n v="115.08"/>
    <n v="115.08"/>
  </r>
  <r>
    <s v="P005"/>
    <x v="4"/>
    <x v="2"/>
    <s v="Low"/>
    <s v="Y016"/>
    <n v="4"/>
    <n v="5.99"/>
    <n v="35"/>
    <n v="82.71"/>
    <n v="76.72"/>
    <n v="76.72"/>
  </r>
  <r>
    <s v="P006"/>
    <x v="5"/>
    <x v="2"/>
    <s v="Low"/>
    <s v="Y010"/>
    <n v="4"/>
    <n v="5.99"/>
    <n v="25"/>
    <n v="82.71"/>
    <n v="76.72"/>
    <n v="76.72"/>
  </r>
  <r>
    <s v="P007"/>
    <x v="6"/>
    <x v="3"/>
    <s v="Medium"/>
    <s v="Y014"/>
    <n v="6"/>
    <n v="17.97"/>
    <n v="55"/>
    <n v="133.05000000000001"/>
    <n v="115.08"/>
    <n v="115.08"/>
  </r>
  <r>
    <s v="P008"/>
    <x v="7"/>
    <x v="3"/>
    <s v="Medium"/>
    <s v="Y018"/>
    <n v="5"/>
    <n v="17.97"/>
    <n v="50"/>
    <n v="113.87"/>
    <n v="95.9"/>
    <n v="95.9"/>
  </r>
  <r>
    <s v="P009"/>
    <x v="8"/>
    <x v="2"/>
    <s v="Low"/>
    <s v="Y019"/>
    <n v="2"/>
    <n v="5.99"/>
    <n v="25"/>
    <n v="44.35"/>
    <n v="38.36"/>
    <n v="38.36"/>
  </r>
  <r>
    <s v="P010"/>
    <x v="9"/>
    <x v="0"/>
    <s v="Low"/>
    <s v="Y016"/>
    <n v="4"/>
    <n v="11.98"/>
    <n v="35"/>
    <n v="88.7"/>
    <n v="76.72"/>
    <n v="76.72"/>
  </r>
  <r>
    <s v="P011"/>
    <x v="10"/>
    <x v="1"/>
    <s v="Medium"/>
    <s v="Y004"/>
    <n v="5"/>
    <n v="17.97"/>
    <n v="45"/>
    <n v="113.87"/>
    <n v="95.9"/>
    <n v="95.9"/>
  </r>
  <r>
    <s v="P012"/>
    <x v="11"/>
    <x v="1"/>
    <s v="High"/>
    <s v="Y010"/>
    <n v="10"/>
    <n v="29.95"/>
    <n v="75"/>
    <n v="221.75"/>
    <n v="146.75"/>
    <n v="191.8"/>
  </r>
  <r>
    <s v="P013"/>
    <x v="12"/>
    <x v="0"/>
    <s v="Medium"/>
    <s v="Y007"/>
    <n v="7"/>
    <n v="21.57"/>
    <n v="40"/>
    <n v="155.83000000000001"/>
    <n v="115.83"/>
    <n v="134.2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E2386A-39F9-EE44-9587-C25A7CC208F1}" name="PivotTable18" cacheId="24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8" firstHeaderRow="1" firstDataRow="1" firstDataCol="1"/>
  <pivotFields count="11">
    <pivotField showAll="0"/>
    <pivotField showAll="0"/>
    <pivotField axis="axisRow" showAll="0">
      <items count="6">
        <item x="2"/>
        <item m="1" x="4"/>
        <item x="3"/>
        <item x="0"/>
        <item x="1"/>
        <item t="default"/>
      </items>
    </pivotField>
    <pivotField showAll="0"/>
    <pivotField showAll="0"/>
    <pivotField dataField="1" showAll="0"/>
    <pivotField showAll="0"/>
    <pivotField numFmtId="6" showAll="0"/>
    <pivotField numFmtId="8" showAll="0"/>
    <pivotField numFmtId="8" showAll="0"/>
    <pivotField numFmtId="8" showAll="0"/>
  </pivotFields>
  <rowFields count="1">
    <field x="2"/>
  </rowFields>
  <rowItems count="5">
    <i>
      <x/>
    </i>
    <i>
      <x v="2"/>
    </i>
    <i>
      <x v="3"/>
    </i>
    <i>
      <x v="4"/>
    </i>
    <i t="grand">
      <x/>
    </i>
  </rowItems>
  <colItems count="1">
    <i/>
  </colItems>
  <dataFields count="1">
    <dataField name="Average of Hours_to_Make" fld="5" subtotal="average" baseField="0" baseItem="0"/>
  </dataField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0ACE07A-AFDB-7843-880C-582AC28FCFAE}" name="PivotTable5" cacheId="24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C17" firstHeaderRow="0" firstDataRow="1" firstDataCol="1"/>
  <pivotFields count="11">
    <pivotField showAll="0"/>
    <pivotField axis="axisRow" showAll="0">
      <items count="15">
        <item x="3"/>
        <item x="1"/>
        <item x="5"/>
        <item x="0"/>
        <item m="1" x="13"/>
        <item x="4"/>
        <item x="8"/>
        <item x="9"/>
        <item x="6"/>
        <item x="7"/>
        <item x="2"/>
        <item x="11"/>
        <item x="12"/>
        <item x="10"/>
        <item t="default"/>
      </items>
    </pivotField>
    <pivotField showAll="0"/>
    <pivotField showAll="0"/>
    <pivotField showAll="0"/>
    <pivotField showAll="0"/>
    <pivotField showAll="0"/>
    <pivotField dataField="1" numFmtId="6" showAll="0"/>
    <pivotField dataField="1" numFmtId="8" showAll="0"/>
    <pivotField numFmtId="8" showAll="0"/>
    <pivotField numFmtId="8" showAll="0"/>
  </pivotFields>
  <rowFields count="1">
    <field x="1"/>
  </rowFields>
  <rowItems count="14">
    <i>
      <x/>
    </i>
    <i>
      <x v="1"/>
    </i>
    <i>
      <x v="2"/>
    </i>
    <i>
      <x v="3"/>
    </i>
    <i>
      <x v="5"/>
    </i>
    <i>
      <x v="6"/>
    </i>
    <i>
      <x v="7"/>
    </i>
    <i>
      <x v="8"/>
    </i>
    <i>
      <x v="9"/>
    </i>
    <i>
      <x v="10"/>
    </i>
    <i>
      <x v="11"/>
    </i>
    <i>
      <x v="12"/>
    </i>
    <i>
      <x v="13"/>
    </i>
    <i t="grand">
      <x/>
    </i>
  </rowItems>
  <colFields count="1">
    <field x="-2"/>
  </colFields>
  <colItems count="2">
    <i>
      <x/>
    </i>
    <i i="1">
      <x v="1"/>
    </i>
  </colItems>
  <dataFields count="2">
    <dataField name="Average of  Ethical_Price" fld="8" subtotal="average" baseField="0" baseItem="0" numFmtId="8"/>
    <dataField name="Average of Market_Price" fld="7" subtotal="average" baseField="0" baseItem="0" numFmtId="6"/>
  </dataFields>
  <chartFormats count="2">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BA54A11-6FC2-5548-979D-7CBE5BF63CFD}" name="PivotTable13" cacheId="24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17" firstHeaderRow="1" firstDataRow="1" firstDataCol="1"/>
  <pivotFields count="11">
    <pivotField showAll="0"/>
    <pivotField axis="axisRow" showAll="0">
      <items count="15">
        <item x="3"/>
        <item x="1"/>
        <item x="5"/>
        <item x="0"/>
        <item m="1" x="13"/>
        <item x="4"/>
        <item x="8"/>
        <item x="9"/>
        <item x="6"/>
        <item x="7"/>
        <item x="2"/>
        <item x="11"/>
        <item x="12"/>
        <item x="10"/>
        <item t="default"/>
      </items>
    </pivotField>
    <pivotField showAll="0"/>
    <pivotField showAll="0"/>
    <pivotField showAll="0"/>
    <pivotField showAll="0"/>
    <pivotField showAll="0"/>
    <pivotField numFmtId="6" showAll="0"/>
    <pivotField numFmtId="8" showAll="0"/>
    <pivotField dataField="1" numFmtId="8" showAll="0"/>
    <pivotField numFmtId="8" showAll="0"/>
  </pivotFields>
  <rowFields count="1">
    <field x="1"/>
  </rowFields>
  <rowItems count="14">
    <i>
      <x/>
    </i>
    <i>
      <x v="1"/>
    </i>
    <i>
      <x v="2"/>
    </i>
    <i>
      <x v="3"/>
    </i>
    <i>
      <x v="5"/>
    </i>
    <i>
      <x v="6"/>
    </i>
    <i>
      <x v="7"/>
    </i>
    <i>
      <x v="8"/>
    </i>
    <i>
      <x v="9"/>
    </i>
    <i>
      <x v="10"/>
    </i>
    <i>
      <x v="11"/>
    </i>
    <i>
      <x v="12"/>
    </i>
    <i>
      <x v="13"/>
    </i>
    <i t="grand">
      <x/>
    </i>
  </rowItems>
  <colItems count="1">
    <i/>
  </colItems>
  <dataFields count="1">
    <dataField name="Average of Labor_Value_Gap" fld="9" subtotal="average" baseField="0" baseItem="0" numFmtId="8"/>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88A615A-42CB-4442-95D5-085F29CBC3B0}" name="PivotTable15" cacheId="24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C8" firstHeaderRow="0" firstDataRow="1" firstDataCol="1"/>
  <pivotFields count="11">
    <pivotField showAll="0"/>
    <pivotField showAll="0">
      <items count="15">
        <item x="3"/>
        <item x="1"/>
        <item x="12"/>
        <item x="11"/>
        <item x="5"/>
        <item x="0"/>
        <item m="1" x="13"/>
        <item x="4"/>
        <item x="8"/>
        <item x="9"/>
        <item x="6"/>
        <item x="7"/>
        <item x="2"/>
        <item x="10"/>
        <item t="default"/>
      </items>
    </pivotField>
    <pivotField axis="axisRow" showAll="0">
      <items count="6">
        <item x="2"/>
        <item m="1" x="4"/>
        <item x="3"/>
        <item x="0"/>
        <item x="1"/>
        <item t="default"/>
      </items>
    </pivotField>
    <pivotField showAll="0"/>
    <pivotField showAll="0"/>
    <pivotField showAll="0"/>
    <pivotField dataField="1" showAll="0"/>
    <pivotField numFmtId="6" showAll="0"/>
    <pivotField numFmtId="8" showAll="0"/>
    <pivotField numFmtId="8" showAll="0"/>
    <pivotField dataField="1" numFmtId="8" showAll="0"/>
  </pivotFields>
  <rowFields count="1">
    <field x="2"/>
  </rowFields>
  <rowItems count="5">
    <i>
      <x/>
    </i>
    <i>
      <x v="2"/>
    </i>
    <i>
      <x v="3"/>
    </i>
    <i>
      <x v="4"/>
    </i>
    <i t="grand">
      <x/>
    </i>
  </rowItems>
  <colFields count="1">
    <field x="-2"/>
  </colFields>
  <colItems count="2">
    <i>
      <x/>
    </i>
    <i i="1">
      <x v="1"/>
    </i>
  </colItems>
  <dataFields count="2">
    <dataField name="Average of Labor_Cost" fld="10" subtotal="average" baseField="0" baseItem="0" numFmtId="8"/>
    <dataField name="Average of  Material_Cost" fld="6" subtotal="average" baseField="0" baseItem="0" numFmtId="168"/>
  </dataFields>
  <formats count="1">
    <format dxfId="1">
      <pivotArea outline="0" collapsedLevelsAreSubtotals="1" fieldPosition="0">
        <references count="1">
          <reference field="4294967294" count="1" selected="0">
            <x v="1"/>
          </reference>
        </references>
      </pivotArea>
    </format>
  </formats>
  <chartFormats count="10">
    <chartFormat chart="2" format="12" series="1">
      <pivotArea type="data" outline="0" fieldPosition="0">
        <references count="1">
          <reference field="4294967294" count="1" selected="0">
            <x v="0"/>
          </reference>
        </references>
      </pivotArea>
    </chartFormat>
    <chartFormat chart="2" format="13">
      <pivotArea type="data" outline="0" fieldPosition="0">
        <references count="2">
          <reference field="4294967294" count="1" selected="0">
            <x v="0"/>
          </reference>
          <reference field="2" count="1" selected="0">
            <x v="0"/>
          </reference>
        </references>
      </pivotArea>
    </chartFormat>
    <chartFormat chart="2" format="14">
      <pivotArea type="data" outline="0" fieldPosition="0">
        <references count="2">
          <reference field="4294967294" count="1" selected="0">
            <x v="0"/>
          </reference>
          <reference field="2" count="1" selected="0">
            <x v="2"/>
          </reference>
        </references>
      </pivotArea>
    </chartFormat>
    <chartFormat chart="2" format="15">
      <pivotArea type="data" outline="0" fieldPosition="0">
        <references count="2">
          <reference field="4294967294" count="1" selected="0">
            <x v="0"/>
          </reference>
          <reference field="2" count="1" selected="0">
            <x v="3"/>
          </reference>
        </references>
      </pivotArea>
    </chartFormat>
    <chartFormat chart="2" format="16">
      <pivotArea type="data" outline="0" fieldPosition="0">
        <references count="2">
          <reference field="4294967294" count="1" selected="0">
            <x v="0"/>
          </reference>
          <reference field="2" count="1" selected="0">
            <x v="4"/>
          </reference>
        </references>
      </pivotArea>
    </chartFormat>
    <chartFormat chart="2" format="17" series="1">
      <pivotArea type="data" outline="0" fieldPosition="0">
        <references count="1">
          <reference field="4294967294" count="1" selected="0">
            <x v="1"/>
          </reference>
        </references>
      </pivotArea>
    </chartFormat>
    <chartFormat chart="2" format="18">
      <pivotArea type="data" outline="0" fieldPosition="0">
        <references count="2">
          <reference field="4294967294" count="1" selected="0">
            <x v="1"/>
          </reference>
          <reference field="2" count="1" selected="0">
            <x v="0"/>
          </reference>
        </references>
      </pivotArea>
    </chartFormat>
    <chartFormat chart="2" format="19">
      <pivotArea type="data" outline="0" fieldPosition="0">
        <references count="2">
          <reference field="4294967294" count="1" selected="0">
            <x v="1"/>
          </reference>
          <reference field="2" count="1" selected="0">
            <x v="2"/>
          </reference>
        </references>
      </pivotArea>
    </chartFormat>
    <chartFormat chart="2" format="20">
      <pivotArea type="data" outline="0" fieldPosition="0">
        <references count="2">
          <reference field="4294967294" count="1" selected="0">
            <x v="1"/>
          </reference>
          <reference field="2" count="1" selected="0">
            <x v="3"/>
          </reference>
        </references>
      </pivotArea>
    </chartFormat>
    <chartFormat chart="2" format="21">
      <pivotArea type="data" outline="0" fieldPosition="0">
        <references count="2">
          <reference field="4294967294" count="1" selected="0">
            <x v="1"/>
          </reference>
          <reference field="2"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C1AEF95-1F81-474A-9D9E-B2802097F40F}" name="PivotTable14" cacheId="15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G8" firstHeaderRow="0" firstDataRow="1" firstDataCol="1"/>
  <pivotFields count="11">
    <pivotField showAll="0"/>
    <pivotField axis="axisRow" showAll="0">
      <items count="5">
        <item x="0"/>
        <item x="1"/>
        <item x="2"/>
        <item x="3"/>
        <item t="default"/>
      </items>
    </pivotField>
    <pivotField numFmtId="14" showAll="0"/>
    <pivotField showAll="0"/>
    <pivotField dataField="1" numFmtId="3" showAll="0"/>
    <pivotField dataField="1" showAll="0"/>
    <pivotField dataField="1" showAll="0"/>
    <pivotField dataField="1" showAll="0"/>
    <pivotField dataField="1" showAll="0"/>
    <pivotField dataField="1" showAll="0"/>
    <pivotField showAll="0"/>
  </pivotFields>
  <rowFields count="1">
    <field x="1"/>
  </rowFields>
  <rowItems count="5">
    <i>
      <x/>
    </i>
    <i>
      <x v="1"/>
    </i>
    <i>
      <x v="2"/>
    </i>
    <i>
      <x v="3"/>
    </i>
    <i t="grand">
      <x/>
    </i>
  </rowItems>
  <colFields count="1">
    <field x="-2"/>
  </colFields>
  <colItems count="6">
    <i>
      <x/>
    </i>
    <i i="1">
      <x v="1"/>
    </i>
    <i i="2">
      <x v="2"/>
    </i>
    <i i="3">
      <x v="3"/>
    </i>
    <i i="4">
      <x v="4"/>
    </i>
    <i i="5">
      <x v="5"/>
    </i>
  </colItems>
  <dataFields count="6">
    <dataField name="Average of  Non_Follower_Reach" fld="9" subtotal="average" baseField="0" baseItem="0"/>
    <dataField name="Average of  Comments" fld="8" subtotal="average" baseField="0" baseItem="0"/>
    <dataField name="Average of  Saves" fld="7" subtotal="average" baseField="0" baseItem="0"/>
    <dataField name="Average of Likes" fld="6" subtotal="average" baseField="0" baseItem="0"/>
    <dataField name="Average of Accounts_Reached" fld="5" subtotal="average" baseField="0" baseItem="0" numFmtId="10"/>
    <dataField name="Average of Views" fld="4" subtotal="average" baseField="0" baseItem="0" numFmtId="3"/>
  </dataFields>
  <formats count="3">
    <format dxfId="4">
      <pivotArea collapsedLevelsAreSubtotals="1" fieldPosition="0">
        <references count="2">
          <reference field="4294967294" count="1" selected="0">
            <x v="4"/>
          </reference>
          <reference field="1" count="1">
            <x v="2"/>
          </reference>
        </references>
      </pivotArea>
    </format>
    <format dxfId="3">
      <pivotArea dataOnly="0" labelOnly="1" outline="0" fieldPosition="0">
        <references count="1">
          <reference field="4294967294" count="1">
            <x v="4"/>
          </reference>
        </references>
      </pivotArea>
    </format>
    <format dxfId="2">
      <pivotArea outline="0" collapsedLevelsAreSubtotals="1" fieldPosition="0">
        <references count="1">
          <reference field="4294967294" count="1" selected="0">
            <x v="4"/>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Name" xr10:uid="{A84497D9-3AAC-E54E-AEA6-4346FC510F6D}" sourceName=" Product_Name">
  <pivotTables>
    <pivotTable tabId="16" name="PivotTable15"/>
  </pivotTables>
  <data>
    <tabular pivotCacheId="2035401739">
      <items count="14">
        <i x="3" s="1"/>
        <i x="1" s="1"/>
        <i x="12" s="1"/>
        <i x="11" s="1"/>
        <i x="5" s="1"/>
        <i x="0" s="1"/>
        <i x="4" s="1"/>
        <i x="8" s="1"/>
        <i x="9" s="1"/>
        <i x="6" s="1"/>
        <i x="7" s="1"/>
        <i x="2" s="1"/>
        <i x="10" s="1"/>
        <i x="13"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3639CC43-9BD5-7147-8365-3F491CAB23E1}" sourceName=" Category">
  <pivotTables>
    <pivotTable tabId="16" name="PivotTable15"/>
  </pivotTables>
  <data>
    <tabular pivotCacheId="2035401739">
      <items count="5">
        <i x="2" s="1"/>
        <i x="3" s="1"/>
        <i x="0" s="1"/>
        <i x="1" s="1"/>
        <i x="4"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 Product_Name 1" xr10:uid="{D9B7FDE9-B80A-6B43-B46C-16546FCE9985}" cache="Slicer_Product_Name" caption=" Product_Name" rowHeight="251883"/>
  <slicer name=" Category 1" xr10:uid="{DFEE0984-2AAB-4641-A2F7-99E26B169F3A}" cache="Slicer_Category" caption=" Category" rowHeight="251883"/>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B0016CE4-87D9-FD4E-A8DC-1DD98C91753E}" name="Table8" displayName="Table8" ref="B5:I25" totalsRowShown="0">
  <autoFilter ref="B5:I25" xr:uid="{B0016CE4-87D9-FD4E-A8DC-1DD98C91753E}"/>
  <tableColumns count="8">
    <tableColumn id="1" xr3:uid="{28502C0A-B171-EA49-8ACA-F23F7EB3E0C1}" name="Yarn_ID"/>
    <tableColumn id="2" xr3:uid="{B5CA4EA8-AB8B-2741-B749-9A1C9A3CD2F9}" name="Yarn_Name"/>
    <tableColumn id="3" xr3:uid="{8CC6856C-EA2D-404C-ACFD-9BEE0544CE8E}" name=" Weight"/>
    <tableColumn id="4" xr3:uid="{51B2E575-1358-E344-A436-FF3DEBCC1668}" name="Color"/>
    <tableColumn id="8" xr3:uid="{EA36B225-E499-7E41-8AB4-4E85D2D73976}" name=" Supplier"/>
    <tableColumn id="5" xr3:uid="{F3C9070A-C3CA-D74C-8556-653599AC1C0A}" name=" Cost_Per_Skein"/>
    <tableColumn id="6" xr3:uid="{CF28C980-0301-5C49-99CB-0DE4D552CF48}" name=" Skeins_Purchased"/>
    <tableColumn id="7" xr3:uid="{8CD373DA-A63B-5748-8ED8-573724BEE28A}" name=" Skeins_Remaining"/>
  </tableColumns>
  <tableStyleInfo name="TableStyleMedium13"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D6D8D446-4C4E-014A-B380-59BA16C6625E}" name="Table9" displayName="Table9" ref="C5:M18" totalsRowShown="0">
  <autoFilter ref="C5:M18" xr:uid="{D6D8D446-4C4E-014A-B380-59BA16C6625E}"/>
  <tableColumns count="11">
    <tableColumn id="1" xr3:uid="{85A124B4-0447-7642-A548-7C6D0F3A873C}" name=" Product_ID"/>
    <tableColumn id="2" xr3:uid="{7F7E4DEB-8CAB-B342-8D35-2AC7D6F20BF8}" name=" Product_Name"/>
    <tableColumn id="3" xr3:uid="{9816D4A7-E577-FC4A-AED9-513C97ECDB33}" name=" Category"/>
    <tableColumn id="4" xr3:uid="{DE4E3349-86F0-DE4B-82E6-11A96CC4D774}" name=" Complexity_Level"/>
    <tableColumn id="5" xr3:uid="{3E1835C1-E641-5C46-9B20-35B2873E7AB8}" name=" Main_Yarn_ID"/>
    <tableColumn id="6" xr3:uid="{8AB17DA7-0AC5-CD43-A870-B55F58637B23}" name="Hours_to_Make"/>
    <tableColumn id="7" xr3:uid="{0788AED8-8E24-964A-BC68-525896072131}" name=" Material_Cost"/>
    <tableColumn id="8" xr3:uid="{F4228B82-D13D-2640-9C76-8D68CEC4037B}" name="Market_Price"/>
    <tableColumn id="9" xr3:uid="{D3C11BE2-19D5-D246-850C-0348D704E346}" name=" Ethical_Price"/>
    <tableColumn id="11" xr3:uid="{64374D70-675D-9A47-BDE2-1D096A285816}" name="Labor_Value_Gap"/>
    <tableColumn id="10" xr3:uid="{CB61988E-27FF-AB4D-A115-6605966BD243}" name="Labor_Cost"/>
  </tableColumns>
  <tableStyleInfo name="TableStyleMedium10"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13AD4D57-B2E7-094F-9753-A32544F81DE3}" name="Table10" displayName="Table10" ref="B5:G18" totalsRowShown="0">
  <autoFilter ref="B5:G18" xr:uid="{13AD4D57-B2E7-094F-9753-A32544F81DE3}"/>
  <tableColumns count="6">
    <tableColumn id="2" xr3:uid="{9E0109EB-16B4-3340-B174-24477C0A7316}" name=" Product_ID"/>
    <tableColumn id="3" xr3:uid="{5AA8E3B4-7E6B-6643-AC8E-B98932ED92E7}" name=" Start_Date"/>
    <tableColumn id="4" xr3:uid="{872414B9-88D8-1E46-A3B4-2BF6461E75F8}" name=" End_Date"/>
    <tableColumn id="5" xr3:uid="{B33E559C-81D5-3A4D-BA2A-8515DD15A30F}" name=" Hours_Spent"/>
    <tableColumn id="6" xr3:uid="{2B4EF29F-C8CD-4E45-8AFC-D9EC54B7BBC4}" name=" Status"/>
    <tableColumn id="7" xr3:uid="{B6D754CA-7850-564D-B9D7-B6A784845A91}" name=" Notes"/>
  </tableColumns>
  <tableStyleInfo name="TableStyleMedium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C066E2C7-9903-6F47-99E0-40BAD925772D}" name="Table11" displayName="Table11" ref="C5:M14" totalsRowShown="0">
  <autoFilter ref="C5:M14" xr:uid="{C066E2C7-9903-6F47-99E0-40BAD925772D}"/>
  <tableColumns count="11">
    <tableColumn id="1" xr3:uid="{131DFB8D-4DA9-B643-9812-668620E5B6E6}" name=" Post_ID"/>
    <tableColumn id="2" xr3:uid="{B96BBB6D-CDE9-594F-B420-5E3E2919B9DE}" name=" Product_ID"/>
    <tableColumn id="3" xr3:uid="{EF62630C-013F-F14C-B141-45641F4E50F7}" name=" Post_Date"/>
    <tableColumn id="4" xr3:uid="{7DE03A84-C8D6-8A4C-ACE9-EF51A7BCE7D5}" name=" Platform"/>
    <tableColumn id="5" xr3:uid="{B18FD5A1-6CD2-7242-9D51-C12F2C405514}" name="Views"/>
    <tableColumn id="6" xr3:uid="{B069547D-AE68-8D4C-918A-66DA5E676AA5}" name="Accounts_Reached"/>
    <tableColumn id="7" xr3:uid="{9807D7BA-BE57-794C-B26D-AEC753327666}" name="Likes"/>
    <tableColumn id="8" xr3:uid="{50F48073-90FD-9F40-9505-C7C353281613}" name=" Saves"/>
    <tableColumn id="9" xr3:uid="{D59004CB-F955-7D45-9591-971CA8F25743}" name=" Comments"/>
    <tableColumn id="10" xr3:uid="{3ECA5F2D-0FCF-FE43-BB4C-DC770A20F469}" name=" Non_Follower_Reach"/>
    <tableColumn id="11" xr3:uid="{56E2103C-B027-3D4A-8F2E-9D8FAD557C65}" name="Hours_to_Make"/>
  </tableColumns>
  <tableStyleInfo name="TableStyleMedium13"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2AEEB72F-AF70-BE44-AFD2-662F696A9F78}" name="Table12" displayName="Table12" ref="C5:H16" totalsRowShown="0">
  <autoFilter ref="C5:H16" xr:uid="{2AEEB72F-AF70-BE44-AFD2-662F696A9F78}"/>
  <tableColumns count="6">
    <tableColumn id="1" xr3:uid="{D87BC220-71EC-B346-BC25-75B4CA3CF1A9}" name=" Product_ID"/>
    <tableColumn id="2" xr3:uid="{2096737E-6BF4-B04B-BED2-D9DA78A5822A}" name="Market_Price"/>
    <tableColumn id="3" xr3:uid="{03350054-02FF-0540-87B8-CF12743CC071}" name=" Ethical_Price"/>
    <tableColumn id="4" xr3:uid="{C2978BFE-61C0-E84E-852C-002CD6622513}" name="Material_Cost"/>
    <tableColumn id="5" xr3:uid="{B0DA31AE-A17B-2044-8D54-618167E56BB8}" name=" Hours_to_Make"/>
    <tableColumn id="6" xr3:uid="{F7E19756-9810-B14F-A6BD-EBAB19A84106}" name=" Labor_Value_Gap"/>
  </tableColumns>
  <tableStyleInfo name="TableStyleMedium8" showFirstColumn="0" showLastColumn="0" showRowStripes="1" showColumnStripes="0"/>
</table>
</file>

<file path=xl/theme/_rels/theme1.x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Ion Boardroom">
  <a:themeElements>
    <a:clrScheme name="Ion Boardroom">
      <a:dk1>
        <a:sysClr val="windowText" lastClr="000000"/>
      </a:dk1>
      <a:lt1>
        <a:sysClr val="window" lastClr="FFFFFF"/>
      </a:lt1>
      <a:dk2>
        <a:srgbClr val="3B3059"/>
      </a:dk2>
      <a:lt2>
        <a:srgbClr val="EBEBEB"/>
      </a:lt2>
      <a:accent1>
        <a:srgbClr val="B31166"/>
      </a:accent1>
      <a:accent2>
        <a:srgbClr val="E33D6F"/>
      </a:accent2>
      <a:accent3>
        <a:srgbClr val="E45F3C"/>
      </a:accent3>
      <a:accent4>
        <a:srgbClr val="E9943A"/>
      </a:accent4>
      <a:accent5>
        <a:srgbClr val="9B6BF2"/>
      </a:accent5>
      <a:accent6>
        <a:srgbClr val="D53DD0"/>
      </a:accent6>
      <a:hlink>
        <a:srgbClr val="8F8F8F"/>
      </a:hlink>
      <a:folHlink>
        <a:srgbClr val="A5A5A5"/>
      </a:folHlink>
    </a:clrScheme>
    <a:fontScheme name="Ion Boardroom">
      <a:majorFont>
        <a:latin typeface="Century Gothic" panose="020B0502020202020204"/>
        <a:ea typeface=""/>
        <a:cs typeface=""/>
        <a:font script="Jpan" typeface="メイリオ"/>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entury Gothic" panose="020B050202020202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Ion Boardroom">
      <a:fillStyleLst>
        <a:solidFill>
          <a:schemeClr val="phClr"/>
        </a:solidFill>
        <a:gradFill rotWithShape="1">
          <a:gsLst>
            <a:gs pos="0">
              <a:schemeClr val="phClr">
                <a:tint val="64000"/>
                <a:lumMod val="118000"/>
              </a:schemeClr>
            </a:gs>
            <a:gs pos="100000">
              <a:schemeClr val="phClr">
                <a:tint val="92000"/>
                <a:alpha val="100000"/>
                <a:lumMod val="110000"/>
              </a:schemeClr>
            </a:gs>
          </a:gsLst>
          <a:lin ang="5400000" scaled="0"/>
        </a:gradFill>
        <a:gradFill rotWithShape="1">
          <a:gsLst>
            <a:gs pos="0">
              <a:schemeClr val="phClr">
                <a:tint val="98000"/>
                <a:lumMod val="114000"/>
              </a:schemeClr>
            </a:gs>
            <a:gs pos="100000">
              <a:schemeClr val="phClr">
                <a:shade val="90000"/>
                <a:lumMod val="84000"/>
              </a:schemeClr>
            </a:gs>
          </a:gsLst>
          <a:lin ang="5400000" scaled="0"/>
        </a:gradFill>
      </a:fillStyleLst>
      <a:lnStyleLst>
        <a:ln w="9525" cap="rnd" cmpd="sng" algn="ctr">
          <a:solidFill>
            <a:schemeClr val="phClr"/>
          </a:solidFill>
          <a:prstDash val="solid"/>
        </a:ln>
        <a:ln w="19050" cap="rnd" cmpd="sng" algn="ctr">
          <a:solidFill>
            <a:schemeClr val="phClr"/>
          </a:solidFill>
          <a:prstDash val="solid"/>
        </a:ln>
        <a:ln w="28575" cap="rnd" cmpd="sng" algn="ctr">
          <a:solidFill>
            <a:schemeClr val="phClr"/>
          </a:solidFill>
          <a:prstDash val="solid"/>
        </a:ln>
      </a:lnStyleLst>
      <a:effectStyleLst>
        <a:effectStyle>
          <a:effectLst/>
        </a:effectStyle>
        <a:effectStyle>
          <a:effectLst>
            <a:outerShdw blurRad="38100" dist="25400" dir="5400000" rotWithShape="0">
              <a:srgbClr val="000000">
                <a:alpha val="45000"/>
              </a:srgbClr>
            </a:outerShdw>
          </a:effectLst>
        </a:effectStyle>
        <a:effectStyle>
          <a:effectLst>
            <a:outerShdw blurRad="63500" dist="38100" dir="5400000" rotWithShape="0">
              <a:srgbClr val="000000">
                <a:alpha val="60000"/>
              </a:srgbClr>
            </a:outerShdw>
          </a:effectLst>
          <a:scene3d>
            <a:camera prst="orthographicFront">
              <a:rot lat="0" lon="0" rev="0"/>
            </a:camera>
            <a:lightRig rig="threePt" dir="tl"/>
          </a:scene3d>
          <a:sp3d prstMaterial="plastic">
            <a:bevelT w="0" h="0"/>
          </a:sp3d>
        </a:effectStyle>
      </a:effectStyleLst>
      <a:bgFillStyleLst>
        <a:solidFill>
          <a:schemeClr val="phClr"/>
        </a:solidFill>
        <a:gradFill rotWithShape="1">
          <a:gsLst>
            <a:gs pos="0">
              <a:schemeClr val="phClr">
                <a:tint val="98000"/>
                <a:hueMod val="124000"/>
                <a:satMod val="148000"/>
                <a:lumMod val="124000"/>
              </a:schemeClr>
            </a:gs>
            <a:gs pos="100000">
              <a:schemeClr val="phClr">
                <a:shade val="76000"/>
                <a:hueMod val="89000"/>
                <a:satMod val="164000"/>
                <a:lumMod val="56000"/>
              </a:schemeClr>
            </a:gs>
          </a:gsLst>
          <a:path path="circle">
            <a:fillToRect l="45000" t="65000" r="125000" b="100000"/>
          </a:path>
        </a:gradFill>
        <a:blipFill rotWithShape="1">
          <a:blip xmlns:r="http://schemas.openxmlformats.org/officeDocument/2006/relationships" r:embed="rId1">
            <a:duotone>
              <a:schemeClr val="phClr">
                <a:shade val="69000"/>
                <a:hueMod val="91000"/>
                <a:satMod val="164000"/>
                <a:lumMod val="74000"/>
              </a:schemeClr>
              <a:schemeClr val="phClr">
                <a:hueMod val="124000"/>
                <a:satMod val="140000"/>
                <a:lumMod val="142000"/>
              </a:schemeClr>
            </a:duotone>
          </a:blip>
          <a:stretch/>
        </a:blipFill>
      </a:bgFillStyleLst>
    </a:fmtScheme>
  </a:themeElements>
  <a:objectDefaults/>
  <a:extraClrSchemeLst/>
  <a:extLst>
    <a:ext uri="{05A4C25C-085E-4340-85A3-A5531E510DB2}">
      <thm15:themeFamily xmlns:thm15="http://schemas.microsoft.com/office/thememl/2012/main" name="Ion Boardroom" id="{FC33163D-4339-46B1-8EED-24C834239D99}" vid="{B8502691-933B-45FE-8764-BA278511EF27}"/>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7.xml.rels><?xml version="1.0" encoding="UTF-8" standalone="yes"?>
<Relationships xmlns="http://schemas.openxmlformats.org/package/2006/relationships"><Relationship Id="rId1" Type="http://schemas.openxmlformats.org/officeDocument/2006/relationships/table" Target="../tables/table4.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5.xml"/></Relationships>
</file>

<file path=xl/worksheets/_rels/sheet1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B71127-23EE-9044-9EDC-67196F53D50D}">
  <dimension ref="B5:I25"/>
  <sheetViews>
    <sheetView tabSelected="1" workbookViewId="0">
      <selection activeCell="E27" sqref="E27"/>
    </sheetView>
  </sheetViews>
  <sheetFormatPr baseColWidth="10" defaultRowHeight="16" x14ac:dyDescent="0.2"/>
  <cols>
    <col min="2" max="8" width="10.85546875" customWidth="1"/>
  </cols>
  <sheetData>
    <row r="5" spans="2:9" x14ac:dyDescent="0.2">
      <c r="B5" t="s">
        <v>0</v>
      </c>
      <c r="C5" t="s">
        <v>1</v>
      </c>
      <c r="D5" t="s">
        <v>4</v>
      </c>
      <c r="E5" t="s">
        <v>2</v>
      </c>
      <c r="F5" t="s">
        <v>5</v>
      </c>
      <c r="G5" t="s">
        <v>6</v>
      </c>
      <c r="H5" t="s">
        <v>10</v>
      </c>
      <c r="I5" t="s">
        <v>7</v>
      </c>
    </row>
    <row r="6" spans="2:9" x14ac:dyDescent="0.2">
      <c r="B6" t="s">
        <v>33</v>
      </c>
      <c r="C6" t="s">
        <v>3</v>
      </c>
      <c r="D6" t="s">
        <v>8</v>
      </c>
      <c r="E6" t="s">
        <v>53</v>
      </c>
      <c r="F6" t="s">
        <v>70</v>
      </c>
      <c r="G6" s="1">
        <v>10</v>
      </c>
      <c r="H6">
        <v>1</v>
      </c>
      <c r="I6">
        <v>0</v>
      </c>
    </row>
    <row r="7" spans="2:9" x14ac:dyDescent="0.2">
      <c r="B7" t="s">
        <v>34</v>
      </c>
      <c r="C7" t="s">
        <v>3</v>
      </c>
      <c r="D7" t="s">
        <v>8</v>
      </c>
      <c r="E7" t="s">
        <v>54</v>
      </c>
      <c r="F7" t="s">
        <v>70</v>
      </c>
      <c r="G7" s="1">
        <v>10</v>
      </c>
      <c r="H7">
        <v>1</v>
      </c>
      <c r="I7">
        <v>0</v>
      </c>
    </row>
    <row r="8" spans="2:9" x14ac:dyDescent="0.2">
      <c r="B8" t="s">
        <v>35</v>
      </c>
      <c r="C8" t="s">
        <v>3</v>
      </c>
      <c r="D8" t="s">
        <v>8</v>
      </c>
      <c r="E8" t="s">
        <v>55</v>
      </c>
      <c r="F8" t="s">
        <v>70</v>
      </c>
      <c r="G8" s="1">
        <v>10</v>
      </c>
      <c r="H8">
        <v>2</v>
      </c>
      <c r="I8">
        <v>0</v>
      </c>
    </row>
    <row r="9" spans="2:9" x14ac:dyDescent="0.2">
      <c r="B9" t="s">
        <v>36</v>
      </c>
      <c r="C9" t="s">
        <v>3</v>
      </c>
      <c r="D9" t="s">
        <v>8</v>
      </c>
      <c r="E9" t="s">
        <v>56</v>
      </c>
      <c r="F9" t="s">
        <v>70</v>
      </c>
      <c r="G9" s="1">
        <v>10</v>
      </c>
      <c r="H9">
        <v>5</v>
      </c>
      <c r="I9">
        <v>2</v>
      </c>
    </row>
    <row r="10" spans="2:9" x14ac:dyDescent="0.2">
      <c r="B10" t="s">
        <v>37</v>
      </c>
      <c r="C10" t="s">
        <v>3</v>
      </c>
      <c r="D10" t="s">
        <v>8</v>
      </c>
      <c r="E10" t="s">
        <v>67</v>
      </c>
      <c r="F10" t="s">
        <v>70</v>
      </c>
      <c r="G10" s="1">
        <v>10</v>
      </c>
      <c r="H10">
        <v>5</v>
      </c>
      <c r="I10">
        <v>2</v>
      </c>
    </row>
    <row r="11" spans="2:9" x14ac:dyDescent="0.2">
      <c r="B11" t="s">
        <v>38</v>
      </c>
      <c r="C11" t="s">
        <v>3</v>
      </c>
      <c r="D11" t="s">
        <v>8</v>
      </c>
      <c r="E11" t="s">
        <v>57</v>
      </c>
      <c r="F11" t="s">
        <v>70</v>
      </c>
      <c r="G11" s="1">
        <v>10</v>
      </c>
      <c r="H11">
        <v>2</v>
      </c>
      <c r="I11">
        <v>1</v>
      </c>
    </row>
    <row r="12" spans="2:9" x14ac:dyDescent="0.2">
      <c r="B12" t="s">
        <v>39</v>
      </c>
      <c r="C12" t="s">
        <v>58</v>
      </c>
      <c r="D12" t="s">
        <v>59</v>
      </c>
      <c r="E12" t="s">
        <v>60</v>
      </c>
      <c r="F12" t="s">
        <v>9</v>
      </c>
      <c r="G12" s="2">
        <v>7.19</v>
      </c>
      <c r="H12">
        <v>2</v>
      </c>
      <c r="I12">
        <v>0</v>
      </c>
    </row>
    <row r="13" spans="2:9" x14ac:dyDescent="0.2">
      <c r="B13" t="s">
        <v>40</v>
      </c>
      <c r="C13" t="s">
        <v>58</v>
      </c>
      <c r="D13" t="s">
        <v>59</v>
      </c>
      <c r="E13" t="s">
        <v>55</v>
      </c>
      <c r="F13" t="s">
        <v>9</v>
      </c>
      <c r="G13" s="2">
        <v>7.19</v>
      </c>
      <c r="H13">
        <v>2</v>
      </c>
      <c r="I13">
        <v>0</v>
      </c>
    </row>
    <row r="14" spans="2:9" x14ac:dyDescent="0.2">
      <c r="B14" t="s">
        <v>41</v>
      </c>
      <c r="C14" t="s">
        <v>58</v>
      </c>
      <c r="D14" t="s">
        <v>59</v>
      </c>
      <c r="E14" t="s">
        <v>61</v>
      </c>
      <c r="F14" t="s">
        <v>9</v>
      </c>
      <c r="G14" s="2">
        <v>7.19</v>
      </c>
      <c r="H14">
        <v>2</v>
      </c>
      <c r="I14">
        <v>0</v>
      </c>
    </row>
    <row r="15" spans="2:9" x14ac:dyDescent="0.2">
      <c r="B15" t="s">
        <v>42</v>
      </c>
      <c r="C15" t="s">
        <v>62</v>
      </c>
      <c r="D15" t="s">
        <v>63</v>
      </c>
      <c r="E15" t="s">
        <v>64</v>
      </c>
      <c r="F15" t="s">
        <v>9</v>
      </c>
      <c r="G15" s="2">
        <v>5.99</v>
      </c>
      <c r="H15">
        <v>4</v>
      </c>
      <c r="I15">
        <v>2</v>
      </c>
    </row>
    <row r="16" spans="2:9" x14ac:dyDescent="0.2">
      <c r="B16" t="s">
        <v>43</v>
      </c>
      <c r="C16" t="s">
        <v>62</v>
      </c>
      <c r="D16" t="s">
        <v>63</v>
      </c>
      <c r="E16" t="s">
        <v>69</v>
      </c>
      <c r="F16" t="s">
        <v>9</v>
      </c>
      <c r="G16" s="2">
        <v>5.99</v>
      </c>
      <c r="H16">
        <v>2</v>
      </c>
      <c r="I16">
        <v>1</v>
      </c>
    </row>
    <row r="17" spans="2:9" x14ac:dyDescent="0.2">
      <c r="B17" t="s">
        <v>44</v>
      </c>
      <c r="C17" t="s">
        <v>62</v>
      </c>
      <c r="D17" t="s">
        <v>63</v>
      </c>
      <c r="E17" t="s">
        <v>65</v>
      </c>
      <c r="F17" t="s">
        <v>9</v>
      </c>
      <c r="G17" s="2">
        <v>5.99</v>
      </c>
      <c r="H17">
        <v>2</v>
      </c>
      <c r="I17">
        <v>1</v>
      </c>
    </row>
    <row r="18" spans="2:9" x14ac:dyDescent="0.2">
      <c r="B18" t="s">
        <v>45</v>
      </c>
      <c r="C18" t="s">
        <v>62</v>
      </c>
      <c r="D18" t="s">
        <v>63</v>
      </c>
      <c r="E18" t="s">
        <v>66</v>
      </c>
      <c r="F18" t="s">
        <v>9</v>
      </c>
      <c r="G18" s="2">
        <v>5.99</v>
      </c>
      <c r="H18">
        <v>2</v>
      </c>
      <c r="I18">
        <v>1</v>
      </c>
    </row>
    <row r="19" spans="2:9" x14ac:dyDescent="0.2">
      <c r="B19" t="s">
        <v>46</v>
      </c>
      <c r="C19" t="s">
        <v>62</v>
      </c>
      <c r="D19" t="s">
        <v>63</v>
      </c>
      <c r="E19" t="s">
        <v>55</v>
      </c>
      <c r="F19" t="s">
        <v>9</v>
      </c>
      <c r="G19" s="2">
        <v>5.99</v>
      </c>
      <c r="H19">
        <v>2</v>
      </c>
      <c r="I19">
        <v>1</v>
      </c>
    </row>
    <row r="20" spans="2:9" x14ac:dyDescent="0.2">
      <c r="B20" t="s">
        <v>47</v>
      </c>
      <c r="C20" t="s">
        <v>62</v>
      </c>
      <c r="D20" t="s">
        <v>63</v>
      </c>
      <c r="E20" t="s">
        <v>68</v>
      </c>
      <c r="F20" t="s">
        <v>9</v>
      </c>
      <c r="G20" s="2">
        <v>5.99</v>
      </c>
      <c r="H20">
        <v>2</v>
      </c>
      <c r="I20">
        <v>0</v>
      </c>
    </row>
    <row r="21" spans="2:9" x14ac:dyDescent="0.2">
      <c r="B21" t="s">
        <v>48</v>
      </c>
      <c r="C21" t="s">
        <v>62</v>
      </c>
      <c r="D21" t="s">
        <v>63</v>
      </c>
      <c r="E21" t="s">
        <v>56</v>
      </c>
      <c r="F21" t="s">
        <v>9</v>
      </c>
      <c r="G21" s="2">
        <v>5.99</v>
      </c>
      <c r="H21">
        <v>2</v>
      </c>
      <c r="I21">
        <v>0</v>
      </c>
    </row>
    <row r="22" spans="2:9" x14ac:dyDescent="0.2">
      <c r="B22" t="s">
        <v>49</v>
      </c>
      <c r="C22" t="s">
        <v>62</v>
      </c>
      <c r="D22" t="s">
        <v>63</v>
      </c>
      <c r="E22" t="s">
        <v>57</v>
      </c>
      <c r="F22" t="s">
        <v>9</v>
      </c>
      <c r="G22" s="2">
        <v>5.99</v>
      </c>
      <c r="H22">
        <v>2</v>
      </c>
      <c r="I22">
        <v>1</v>
      </c>
    </row>
    <row r="23" spans="2:9" x14ac:dyDescent="0.2">
      <c r="B23" t="s">
        <v>50</v>
      </c>
      <c r="C23" t="s">
        <v>62</v>
      </c>
      <c r="D23" t="s">
        <v>63</v>
      </c>
      <c r="E23" t="s">
        <v>54</v>
      </c>
      <c r="F23" t="s">
        <v>9</v>
      </c>
      <c r="G23" s="2">
        <v>5.99</v>
      </c>
      <c r="H23">
        <v>2</v>
      </c>
      <c r="I23">
        <v>1</v>
      </c>
    </row>
    <row r="24" spans="2:9" x14ac:dyDescent="0.2">
      <c r="B24" t="s">
        <v>51</v>
      </c>
      <c r="C24" t="s">
        <v>62</v>
      </c>
      <c r="D24" t="s">
        <v>63</v>
      </c>
      <c r="E24" t="s">
        <v>67</v>
      </c>
      <c r="F24" t="s">
        <v>9</v>
      </c>
      <c r="G24" s="2">
        <v>5.99</v>
      </c>
      <c r="H24">
        <v>2</v>
      </c>
      <c r="I24">
        <v>1</v>
      </c>
    </row>
    <row r="25" spans="2:9" x14ac:dyDescent="0.2">
      <c r="B25" t="s">
        <v>52</v>
      </c>
      <c r="C25" t="s">
        <v>62</v>
      </c>
      <c r="D25" t="s">
        <v>63</v>
      </c>
      <c r="E25" t="s">
        <v>53</v>
      </c>
      <c r="F25" t="s">
        <v>9</v>
      </c>
      <c r="G25" s="2">
        <v>5.99</v>
      </c>
      <c r="H25">
        <v>2</v>
      </c>
      <c r="I25">
        <v>1</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0BF152-EC43-A844-AB66-26940E4AC9A8}">
  <dimension ref="C5:M18"/>
  <sheetViews>
    <sheetView topLeftCell="B1" workbookViewId="0">
      <selection activeCell="G12" sqref="G12"/>
    </sheetView>
  </sheetViews>
  <sheetFormatPr baseColWidth="10" defaultRowHeight="16" x14ac:dyDescent="0.2"/>
  <cols>
    <col min="3" max="11" width="10.85546875" customWidth="1"/>
  </cols>
  <sheetData>
    <row r="5" spans="3:13" x14ac:dyDescent="0.2">
      <c r="C5" t="s">
        <v>11</v>
      </c>
      <c r="D5" t="s">
        <v>12</v>
      </c>
      <c r="E5" t="s">
        <v>13</v>
      </c>
      <c r="F5" t="s">
        <v>14</v>
      </c>
      <c r="G5" t="s">
        <v>15</v>
      </c>
      <c r="H5" t="s">
        <v>84</v>
      </c>
      <c r="I5" t="s">
        <v>17</v>
      </c>
      <c r="J5" t="s">
        <v>19</v>
      </c>
      <c r="K5" t="s">
        <v>18</v>
      </c>
      <c r="L5" t="s">
        <v>129</v>
      </c>
      <c r="M5" t="s">
        <v>137</v>
      </c>
    </row>
    <row r="6" spans="3:13" x14ac:dyDescent="0.2">
      <c r="C6" t="s">
        <v>71</v>
      </c>
      <c r="D6" t="s">
        <v>82</v>
      </c>
      <c r="E6" t="s">
        <v>96</v>
      </c>
      <c r="F6" t="s">
        <v>83</v>
      </c>
      <c r="G6" t="s">
        <v>39</v>
      </c>
      <c r="H6">
        <v>7</v>
      </c>
      <c r="I6" s="2">
        <v>14.38</v>
      </c>
      <c r="J6" s="1">
        <v>40</v>
      </c>
      <c r="K6" s="2">
        <v>148.63999999999999</v>
      </c>
      <c r="L6" s="2">
        <v>108.64</v>
      </c>
      <c r="M6" s="2">
        <v>134.26</v>
      </c>
    </row>
    <row r="7" spans="3:13" x14ac:dyDescent="0.2">
      <c r="C7" t="s">
        <v>72</v>
      </c>
      <c r="D7" t="s">
        <v>85</v>
      </c>
      <c r="E7" t="s">
        <v>94</v>
      </c>
      <c r="F7" t="s">
        <v>97</v>
      </c>
      <c r="G7" t="s">
        <v>34</v>
      </c>
      <c r="H7">
        <v>5</v>
      </c>
      <c r="I7" s="1">
        <v>10</v>
      </c>
      <c r="J7" s="1">
        <v>60</v>
      </c>
      <c r="K7" s="2">
        <v>105.59</v>
      </c>
      <c r="L7" s="2">
        <v>95.59</v>
      </c>
      <c r="M7" s="2">
        <v>95.9</v>
      </c>
    </row>
    <row r="8" spans="3:13" x14ac:dyDescent="0.2">
      <c r="C8" t="s">
        <v>73</v>
      </c>
      <c r="D8" t="s">
        <v>86</v>
      </c>
      <c r="E8" t="s">
        <v>126</v>
      </c>
      <c r="F8" t="s">
        <v>97</v>
      </c>
      <c r="G8" t="s">
        <v>40</v>
      </c>
      <c r="H8">
        <v>2</v>
      </c>
      <c r="I8" s="2">
        <v>14.38</v>
      </c>
      <c r="J8" s="1">
        <v>20</v>
      </c>
      <c r="K8" s="2">
        <v>52.74</v>
      </c>
      <c r="L8" s="2">
        <v>38.36</v>
      </c>
      <c r="M8" s="2">
        <v>38.36</v>
      </c>
    </row>
    <row r="9" spans="3:13" x14ac:dyDescent="0.2">
      <c r="C9" t="s">
        <v>74</v>
      </c>
      <c r="D9" t="s">
        <v>87</v>
      </c>
      <c r="E9" t="s">
        <v>95</v>
      </c>
      <c r="F9" t="s">
        <v>83</v>
      </c>
      <c r="G9" t="s">
        <v>43</v>
      </c>
      <c r="H9">
        <v>6</v>
      </c>
      <c r="I9" s="2">
        <v>23.96</v>
      </c>
      <c r="J9" s="1">
        <v>50</v>
      </c>
      <c r="K9" s="2">
        <v>139.04</v>
      </c>
      <c r="L9" s="2">
        <v>115.08</v>
      </c>
      <c r="M9" s="2">
        <v>115.08</v>
      </c>
    </row>
    <row r="10" spans="3:13" x14ac:dyDescent="0.2">
      <c r="C10" t="s">
        <v>75</v>
      </c>
      <c r="D10" t="s">
        <v>88</v>
      </c>
      <c r="E10" t="s">
        <v>126</v>
      </c>
      <c r="F10" t="s">
        <v>97</v>
      </c>
      <c r="G10" t="s">
        <v>48</v>
      </c>
      <c r="H10">
        <v>4</v>
      </c>
      <c r="I10" s="2">
        <v>5.99</v>
      </c>
      <c r="J10" s="1">
        <v>35</v>
      </c>
      <c r="K10" s="2">
        <v>82.71</v>
      </c>
      <c r="L10" s="2">
        <v>76.72</v>
      </c>
      <c r="M10" s="2">
        <v>76.72</v>
      </c>
    </row>
    <row r="11" spans="3:13" x14ac:dyDescent="0.2">
      <c r="C11" t="s">
        <v>76</v>
      </c>
      <c r="D11" t="s">
        <v>89</v>
      </c>
      <c r="E11" t="s">
        <v>126</v>
      </c>
      <c r="F11" t="s">
        <v>97</v>
      </c>
      <c r="G11" t="s">
        <v>42</v>
      </c>
      <c r="H11">
        <v>4</v>
      </c>
      <c r="I11" s="2">
        <v>5.99</v>
      </c>
      <c r="J11" s="1">
        <v>25</v>
      </c>
      <c r="K11" s="2">
        <v>82.71</v>
      </c>
      <c r="L11" s="2">
        <v>76.72</v>
      </c>
      <c r="M11" s="2">
        <v>76.72</v>
      </c>
    </row>
    <row r="12" spans="3:13" x14ac:dyDescent="0.2">
      <c r="C12" t="s">
        <v>77</v>
      </c>
      <c r="D12" t="s">
        <v>90</v>
      </c>
      <c r="E12" t="s">
        <v>95</v>
      </c>
      <c r="F12" t="s">
        <v>83</v>
      </c>
      <c r="G12" t="s">
        <v>46</v>
      </c>
      <c r="H12">
        <v>6</v>
      </c>
      <c r="I12" s="2">
        <v>17.97</v>
      </c>
      <c r="J12" s="1">
        <v>55</v>
      </c>
      <c r="K12" s="2">
        <v>133.05000000000001</v>
      </c>
      <c r="L12" s="2">
        <v>115.08</v>
      </c>
      <c r="M12" s="2">
        <v>115.08</v>
      </c>
    </row>
    <row r="13" spans="3:13" x14ac:dyDescent="0.2">
      <c r="C13" t="s">
        <v>78</v>
      </c>
      <c r="D13" t="s">
        <v>91</v>
      </c>
      <c r="E13" t="s">
        <v>95</v>
      </c>
      <c r="F13" t="s">
        <v>83</v>
      </c>
      <c r="G13" t="s">
        <v>50</v>
      </c>
      <c r="H13">
        <v>5</v>
      </c>
      <c r="I13" s="2">
        <v>17.97</v>
      </c>
      <c r="J13" s="1">
        <v>50</v>
      </c>
      <c r="K13" s="2">
        <v>113.87</v>
      </c>
      <c r="L13" s="2">
        <v>95.9</v>
      </c>
      <c r="M13" s="2">
        <v>95.9</v>
      </c>
    </row>
    <row r="14" spans="3:13" x14ac:dyDescent="0.2">
      <c r="C14" t="s">
        <v>79</v>
      </c>
      <c r="D14" t="s">
        <v>92</v>
      </c>
      <c r="E14" t="s">
        <v>126</v>
      </c>
      <c r="F14" t="s">
        <v>97</v>
      </c>
      <c r="G14" t="s">
        <v>51</v>
      </c>
      <c r="H14">
        <v>2</v>
      </c>
      <c r="I14" s="2">
        <v>5.99</v>
      </c>
      <c r="J14" s="1">
        <v>25</v>
      </c>
      <c r="K14" s="2">
        <v>44.35</v>
      </c>
      <c r="L14" s="2">
        <v>38.36</v>
      </c>
      <c r="M14" s="2">
        <v>38.36</v>
      </c>
    </row>
    <row r="15" spans="3:13" x14ac:dyDescent="0.2">
      <c r="C15" t="s">
        <v>80</v>
      </c>
      <c r="D15" t="s">
        <v>93</v>
      </c>
      <c r="E15" t="s">
        <v>96</v>
      </c>
      <c r="F15" t="s">
        <v>97</v>
      </c>
      <c r="G15" t="s">
        <v>48</v>
      </c>
      <c r="H15">
        <v>4</v>
      </c>
      <c r="I15" s="2">
        <v>11.98</v>
      </c>
      <c r="J15" s="1">
        <v>35</v>
      </c>
      <c r="K15" s="2">
        <v>88.7</v>
      </c>
      <c r="L15" s="2">
        <v>76.72</v>
      </c>
      <c r="M15" s="2">
        <v>76.72</v>
      </c>
    </row>
    <row r="16" spans="3:13" x14ac:dyDescent="0.2">
      <c r="C16" t="s">
        <v>81</v>
      </c>
      <c r="D16" t="s">
        <v>107</v>
      </c>
      <c r="E16" t="s">
        <v>94</v>
      </c>
      <c r="F16" t="s">
        <v>83</v>
      </c>
      <c r="G16" t="s">
        <v>36</v>
      </c>
      <c r="H16">
        <v>5</v>
      </c>
      <c r="I16" s="2">
        <v>17.97</v>
      </c>
      <c r="J16" s="1">
        <v>45</v>
      </c>
      <c r="K16" s="2">
        <v>113.87</v>
      </c>
      <c r="L16" s="2">
        <v>95.9</v>
      </c>
      <c r="M16" s="2">
        <v>95.9</v>
      </c>
    </row>
    <row r="17" spans="3:13" x14ac:dyDescent="0.2">
      <c r="C17" t="s">
        <v>105</v>
      </c>
      <c r="D17" t="s">
        <v>108</v>
      </c>
      <c r="E17" t="s">
        <v>94</v>
      </c>
      <c r="F17" t="s">
        <v>143</v>
      </c>
      <c r="G17" t="s">
        <v>42</v>
      </c>
      <c r="H17">
        <v>10</v>
      </c>
      <c r="I17" s="2">
        <v>29.95</v>
      </c>
      <c r="J17" s="1">
        <v>75</v>
      </c>
      <c r="K17" s="2">
        <v>221.75</v>
      </c>
      <c r="L17" s="2">
        <v>146.75</v>
      </c>
      <c r="M17" s="2">
        <v>191.8</v>
      </c>
    </row>
    <row r="18" spans="3:13" x14ac:dyDescent="0.2">
      <c r="C18" t="s">
        <v>106</v>
      </c>
      <c r="D18" t="s">
        <v>109</v>
      </c>
      <c r="E18" t="s">
        <v>96</v>
      </c>
      <c r="F18" t="s">
        <v>83</v>
      </c>
      <c r="G18" t="s">
        <v>39</v>
      </c>
      <c r="H18">
        <v>7</v>
      </c>
      <c r="I18" s="2">
        <v>21.57</v>
      </c>
      <c r="J18" s="1">
        <v>40</v>
      </c>
      <c r="K18" s="2">
        <v>155.83000000000001</v>
      </c>
      <c r="L18" s="2">
        <v>115.83</v>
      </c>
      <c r="M18" s="2">
        <v>134.26</v>
      </c>
    </row>
  </sheetData>
  <phoneticPr fontId="1" type="noConversion"/>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51821E-49DA-BA4E-8454-7706A25457E0}">
  <dimension ref="A3:B8"/>
  <sheetViews>
    <sheetView workbookViewId="0">
      <selection activeCell="B12" sqref="B12"/>
    </sheetView>
  </sheetViews>
  <sheetFormatPr baseColWidth="10" defaultRowHeight="16" x14ac:dyDescent="0.2"/>
  <cols>
    <col min="1" max="1" width="12.85546875" customWidth="1"/>
    <col min="2" max="2" width="23.28515625" customWidth="1"/>
  </cols>
  <sheetData>
    <row r="3" spans="1:2" x14ac:dyDescent="0.2">
      <c r="A3" s="6" t="s">
        <v>123</v>
      </c>
      <c r="B3" t="s">
        <v>125</v>
      </c>
    </row>
    <row r="4" spans="1:2" x14ac:dyDescent="0.2">
      <c r="A4" s="7" t="s">
        <v>126</v>
      </c>
      <c r="B4" s="8">
        <v>3</v>
      </c>
    </row>
    <row r="5" spans="1:2" x14ac:dyDescent="0.2">
      <c r="A5" s="7" t="s">
        <v>95</v>
      </c>
      <c r="B5" s="8">
        <v>5.666666666666667</v>
      </c>
    </row>
    <row r="6" spans="1:2" x14ac:dyDescent="0.2">
      <c r="A6" s="7" t="s">
        <v>96</v>
      </c>
      <c r="B6" s="8">
        <v>6</v>
      </c>
    </row>
    <row r="7" spans="1:2" x14ac:dyDescent="0.2">
      <c r="A7" s="7" t="s">
        <v>94</v>
      </c>
      <c r="B7" s="8">
        <v>6.666666666666667</v>
      </c>
    </row>
    <row r="8" spans="1:2" x14ac:dyDescent="0.2">
      <c r="A8" s="7" t="s">
        <v>124</v>
      </c>
      <c r="B8" s="8">
        <v>5.1538461538461542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6E3620-FAFE-7845-AEC1-F098362BC815}">
  <dimension ref="B5:G18"/>
  <sheetViews>
    <sheetView topLeftCell="A2" workbookViewId="0">
      <selection activeCell="D21" sqref="D21"/>
    </sheetView>
  </sheetViews>
  <sheetFormatPr baseColWidth="10" defaultRowHeight="16" x14ac:dyDescent="0.2"/>
  <cols>
    <col min="2" max="8" width="10.85546875" customWidth="1"/>
  </cols>
  <sheetData>
    <row r="5" spans="2:7" x14ac:dyDescent="0.2">
      <c r="B5" t="s">
        <v>11</v>
      </c>
      <c r="C5" t="s">
        <v>20</v>
      </c>
      <c r="D5" t="s">
        <v>21</v>
      </c>
      <c r="E5" t="s">
        <v>22</v>
      </c>
      <c r="F5" t="s">
        <v>23</v>
      </c>
      <c r="G5" t="s">
        <v>24</v>
      </c>
    </row>
    <row r="6" spans="2:7" x14ac:dyDescent="0.2">
      <c r="B6" t="s">
        <v>71</v>
      </c>
      <c r="C6" s="3">
        <v>45538</v>
      </c>
      <c r="D6" s="3">
        <v>45538</v>
      </c>
      <c r="E6">
        <v>7</v>
      </c>
      <c r="F6" t="s">
        <v>98</v>
      </c>
      <c r="G6" t="s">
        <v>103</v>
      </c>
    </row>
    <row r="7" spans="2:7" x14ac:dyDescent="0.2">
      <c r="B7" t="s">
        <v>72</v>
      </c>
      <c r="C7" s="3">
        <v>45570</v>
      </c>
      <c r="D7" s="3">
        <v>45571</v>
      </c>
      <c r="E7">
        <v>5</v>
      </c>
      <c r="F7" t="s">
        <v>98</v>
      </c>
      <c r="G7" t="s">
        <v>101</v>
      </c>
    </row>
    <row r="8" spans="2:7" x14ac:dyDescent="0.2">
      <c r="B8" t="s">
        <v>73</v>
      </c>
      <c r="C8" s="3">
        <v>45597</v>
      </c>
      <c r="D8" s="3">
        <v>45600</v>
      </c>
      <c r="E8">
        <v>2</v>
      </c>
      <c r="F8" t="s">
        <v>98</v>
      </c>
      <c r="G8" t="s">
        <v>101</v>
      </c>
    </row>
    <row r="9" spans="2:7" x14ac:dyDescent="0.2">
      <c r="B9" t="s">
        <v>74</v>
      </c>
      <c r="C9" s="3">
        <v>45646</v>
      </c>
      <c r="D9" s="3">
        <v>45649</v>
      </c>
      <c r="E9">
        <v>6</v>
      </c>
      <c r="F9" t="s">
        <v>102</v>
      </c>
      <c r="G9" t="s">
        <v>103</v>
      </c>
    </row>
    <row r="10" spans="2:7" x14ac:dyDescent="0.2">
      <c r="B10" t="s">
        <v>75</v>
      </c>
      <c r="C10" s="3">
        <v>45797</v>
      </c>
      <c r="D10" s="3">
        <v>45808</v>
      </c>
      <c r="E10">
        <v>4</v>
      </c>
      <c r="F10" t="s">
        <v>98</v>
      </c>
      <c r="G10" t="s">
        <v>88</v>
      </c>
    </row>
    <row r="11" spans="2:7" x14ac:dyDescent="0.2">
      <c r="B11" t="s">
        <v>76</v>
      </c>
      <c r="C11" s="3">
        <v>45689</v>
      </c>
      <c r="D11" s="4">
        <v>45690</v>
      </c>
      <c r="E11">
        <v>4</v>
      </c>
      <c r="F11" t="s">
        <v>98</v>
      </c>
      <c r="G11" t="s">
        <v>99</v>
      </c>
    </row>
    <row r="12" spans="2:7" x14ac:dyDescent="0.2">
      <c r="B12" t="s">
        <v>77</v>
      </c>
      <c r="C12" s="3">
        <v>45693</v>
      </c>
      <c r="D12" s="3">
        <v>45694</v>
      </c>
      <c r="E12">
        <v>6</v>
      </c>
      <c r="F12" t="s">
        <v>98</v>
      </c>
      <c r="G12" t="s">
        <v>99</v>
      </c>
    </row>
    <row r="13" spans="2:7" x14ac:dyDescent="0.2">
      <c r="B13" t="s">
        <v>78</v>
      </c>
      <c r="C13" s="3">
        <v>45693</v>
      </c>
      <c r="D13" s="3">
        <v>45698</v>
      </c>
      <c r="E13">
        <v>5</v>
      </c>
      <c r="F13" t="s">
        <v>98</v>
      </c>
      <c r="G13" t="s">
        <v>99</v>
      </c>
    </row>
    <row r="14" spans="2:7" x14ac:dyDescent="0.2">
      <c r="B14" t="s">
        <v>79</v>
      </c>
      <c r="C14" s="3">
        <v>45694</v>
      </c>
      <c r="D14" s="3">
        <v>45694</v>
      </c>
      <c r="E14">
        <v>2</v>
      </c>
      <c r="F14" t="s">
        <v>98</v>
      </c>
      <c r="G14" t="s">
        <v>99</v>
      </c>
    </row>
    <row r="15" spans="2:7" x14ac:dyDescent="0.2">
      <c r="B15" t="s">
        <v>80</v>
      </c>
      <c r="C15" s="3">
        <v>45726</v>
      </c>
      <c r="D15" s="3">
        <v>45727</v>
      </c>
      <c r="E15">
        <v>4</v>
      </c>
      <c r="F15" t="s">
        <v>98</v>
      </c>
      <c r="G15" t="s">
        <v>100</v>
      </c>
    </row>
    <row r="16" spans="2:7" x14ac:dyDescent="0.2">
      <c r="B16" t="s">
        <v>81</v>
      </c>
      <c r="C16" s="3">
        <v>45677</v>
      </c>
      <c r="D16" s="3">
        <v>45688</v>
      </c>
      <c r="E16">
        <v>5</v>
      </c>
      <c r="F16" t="s">
        <v>98</v>
      </c>
      <c r="G16" t="s">
        <v>107</v>
      </c>
    </row>
    <row r="17" spans="2:7" x14ac:dyDescent="0.2">
      <c r="B17" t="s">
        <v>105</v>
      </c>
      <c r="C17" s="3">
        <v>45889</v>
      </c>
      <c r="D17" s="3">
        <v>45901</v>
      </c>
      <c r="E17">
        <v>10</v>
      </c>
      <c r="F17" t="s">
        <v>98</v>
      </c>
      <c r="G17" t="s">
        <v>108</v>
      </c>
    </row>
    <row r="18" spans="2:7" x14ac:dyDescent="0.2">
      <c r="B18" t="s">
        <v>106</v>
      </c>
      <c r="C18" s="3">
        <v>45903</v>
      </c>
      <c r="D18" s="3">
        <v>45922</v>
      </c>
      <c r="E18">
        <v>7</v>
      </c>
      <c r="F18" t="s">
        <v>98</v>
      </c>
      <c r="G18" t="s">
        <v>109</v>
      </c>
    </row>
  </sheetData>
  <phoneticPr fontId="1" type="noConversion"/>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6CCFED-39B3-EE40-BF13-17193E09496E}">
  <dimension ref="A3:C17"/>
  <sheetViews>
    <sheetView workbookViewId="0">
      <selection activeCell="C12" sqref="C12"/>
    </sheetView>
  </sheetViews>
  <sheetFormatPr baseColWidth="10" defaultRowHeight="16" x14ac:dyDescent="0.2"/>
  <cols>
    <col min="1" max="1" width="15" customWidth="1"/>
    <col min="2" max="2" width="21.5703125" customWidth="1"/>
    <col min="3" max="3" width="21.42578125" customWidth="1"/>
  </cols>
  <sheetData>
    <row r="3" spans="1:3" x14ac:dyDescent="0.2">
      <c r="A3" s="6" t="s">
        <v>123</v>
      </c>
      <c r="B3" t="s">
        <v>127</v>
      </c>
      <c r="C3" t="s">
        <v>128</v>
      </c>
    </row>
    <row r="4" spans="1:3" x14ac:dyDescent="0.2">
      <c r="A4" s="7" t="s">
        <v>87</v>
      </c>
      <c r="B4" s="2">
        <v>139.04</v>
      </c>
      <c r="C4" s="1">
        <v>50</v>
      </c>
    </row>
    <row r="5" spans="1:3" x14ac:dyDescent="0.2">
      <c r="A5" s="7" t="s">
        <v>85</v>
      </c>
      <c r="B5" s="2">
        <v>105.59</v>
      </c>
      <c r="C5" s="1">
        <v>60</v>
      </c>
    </row>
    <row r="6" spans="1:3" x14ac:dyDescent="0.2">
      <c r="A6" s="7" t="s">
        <v>89</v>
      </c>
      <c r="B6" s="2">
        <v>82.71</v>
      </c>
      <c r="C6" s="1">
        <v>25</v>
      </c>
    </row>
    <row r="7" spans="1:3" x14ac:dyDescent="0.2">
      <c r="A7" s="7" t="s">
        <v>82</v>
      </c>
      <c r="B7" s="2">
        <v>148.63999999999999</v>
      </c>
      <c r="C7" s="1">
        <v>40</v>
      </c>
    </row>
    <row r="8" spans="1:3" x14ac:dyDescent="0.2">
      <c r="A8" s="7" t="s">
        <v>88</v>
      </c>
      <c r="B8" s="2">
        <v>82.71</v>
      </c>
      <c r="C8" s="1">
        <v>35</v>
      </c>
    </row>
    <row r="9" spans="1:3" x14ac:dyDescent="0.2">
      <c r="A9" s="7" t="s">
        <v>92</v>
      </c>
      <c r="B9" s="2">
        <v>44.35</v>
      </c>
      <c r="C9" s="1">
        <v>25</v>
      </c>
    </row>
    <row r="10" spans="1:3" x14ac:dyDescent="0.2">
      <c r="A10" s="7" t="s">
        <v>93</v>
      </c>
      <c r="B10" s="2">
        <v>88.7</v>
      </c>
      <c r="C10" s="1">
        <v>35</v>
      </c>
    </row>
    <row r="11" spans="1:3" x14ac:dyDescent="0.2">
      <c r="A11" s="7" t="s">
        <v>90</v>
      </c>
      <c r="B11" s="2">
        <v>133.05000000000001</v>
      </c>
      <c r="C11" s="1">
        <v>55</v>
      </c>
    </row>
    <row r="12" spans="1:3" x14ac:dyDescent="0.2">
      <c r="A12" s="7" t="s">
        <v>91</v>
      </c>
      <c r="B12" s="2">
        <v>113.87</v>
      </c>
      <c r="C12" s="1">
        <v>50</v>
      </c>
    </row>
    <row r="13" spans="1:3" x14ac:dyDescent="0.2">
      <c r="A13" s="7" t="s">
        <v>86</v>
      </c>
      <c r="B13" s="2">
        <v>52.74</v>
      </c>
      <c r="C13" s="1">
        <v>20</v>
      </c>
    </row>
    <row r="14" spans="1:3" x14ac:dyDescent="0.2">
      <c r="A14" s="7" t="s">
        <v>108</v>
      </c>
      <c r="B14" s="2">
        <v>221.75</v>
      </c>
      <c r="C14" s="1">
        <v>75</v>
      </c>
    </row>
    <row r="15" spans="1:3" x14ac:dyDescent="0.2">
      <c r="A15" s="7" t="s">
        <v>109</v>
      </c>
      <c r="B15" s="2">
        <v>155.83000000000001</v>
      </c>
      <c r="C15" s="1">
        <v>40</v>
      </c>
    </row>
    <row r="16" spans="1:3" x14ac:dyDescent="0.2">
      <c r="A16" s="7" t="s">
        <v>107</v>
      </c>
      <c r="B16" s="2">
        <v>113.87</v>
      </c>
      <c r="C16" s="1">
        <v>45</v>
      </c>
    </row>
    <row r="17" spans="1:3" x14ac:dyDescent="0.2">
      <c r="A17" s="7" t="s">
        <v>124</v>
      </c>
      <c r="B17" s="2">
        <v>114.0653846153846</v>
      </c>
      <c r="C17" s="1">
        <v>42.692307692307693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4D0A21-D365-A642-B5F2-08F043B200AD}">
  <dimension ref="A3:B17"/>
  <sheetViews>
    <sheetView workbookViewId="0">
      <selection activeCell="B9" sqref="B9"/>
    </sheetView>
  </sheetViews>
  <sheetFormatPr baseColWidth="10" defaultRowHeight="16" x14ac:dyDescent="0.2"/>
  <cols>
    <col min="1" max="1" width="15" customWidth="1"/>
    <col min="2" max="2" width="24.7109375" customWidth="1"/>
  </cols>
  <sheetData>
    <row r="3" spans="1:2" x14ac:dyDescent="0.2">
      <c r="A3" s="6" t="s">
        <v>123</v>
      </c>
      <c r="B3" t="s">
        <v>130</v>
      </c>
    </row>
    <row r="4" spans="1:2" x14ac:dyDescent="0.2">
      <c r="A4" s="7" t="s">
        <v>87</v>
      </c>
      <c r="B4" s="2">
        <v>115.08</v>
      </c>
    </row>
    <row r="5" spans="1:2" x14ac:dyDescent="0.2">
      <c r="A5" s="7" t="s">
        <v>85</v>
      </c>
      <c r="B5" s="2">
        <v>95.59</v>
      </c>
    </row>
    <row r="6" spans="1:2" x14ac:dyDescent="0.2">
      <c r="A6" s="7" t="s">
        <v>89</v>
      </c>
      <c r="B6" s="2">
        <v>76.72</v>
      </c>
    </row>
    <row r="7" spans="1:2" x14ac:dyDescent="0.2">
      <c r="A7" s="7" t="s">
        <v>82</v>
      </c>
      <c r="B7" s="2">
        <v>108.64</v>
      </c>
    </row>
    <row r="8" spans="1:2" x14ac:dyDescent="0.2">
      <c r="A8" s="7" t="s">
        <v>88</v>
      </c>
      <c r="B8" s="2">
        <v>76.72</v>
      </c>
    </row>
    <row r="9" spans="1:2" x14ac:dyDescent="0.2">
      <c r="A9" s="7" t="s">
        <v>92</v>
      </c>
      <c r="B9" s="2">
        <v>38.36</v>
      </c>
    </row>
    <row r="10" spans="1:2" x14ac:dyDescent="0.2">
      <c r="A10" s="7" t="s">
        <v>93</v>
      </c>
      <c r="B10" s="2">
        <v>76.72</v>
      </c>
    </row>
    <row r="11" spans="1:2" x14ac:dyDescent="0.2">
      <c r="A11" s="7" t="s">
        <v>90</v>
      </c>
      <c r="B11" s="2">
        <v>115.08</v>
      </c>
    </row>
    <row r="12" spans="1:2" x14ac:dyDescent="0.2">
      <c r="A12" s="7" t="s">
        <v>91</v>
      </c>
      <c r="B12" s="2">
        <v>95.9</v>
      </c>
    </row>
    <row r="13" spans="1:2" x14ac:dyDescent="0.2">
      <c r="A13" s="7" t="s">
        <v>86</v>
      </c>
      <c r="B13" s="2">
        <v>38.36</v>
      </c>
    </row>
    <row r="14" spans="1:2" x14ac:dyDescent="0.2">
      <c r="A14" s="7" t="s">
        <v>108</v>
      </c>
      <c r="B14" s="2">
        <v>146.75</v>
      </c>
    </row>
    <row r="15" spans="1:2" x14ac:dyDescent="0.2">
      <c r="A15" s="7" t="s">
        <v>109</v>
      </c>
      <c r="B15" s="2">
        <v>115.83</v>
      </c>
    </row>
    <row r="16" spans="1:2" x14ac:dyDescent="0.2">
      <c r="A16" s="7" t="s">
        <v>107</v>
      </c>
      <c r="B16" s="2">
        <v>95.9</v>
      </c>
    </row>
    <row r="17" spans="1:2" x14ac:dyDescent="0.2">
      <c r="A17" s="7" t="s">
        <v>124</v>
      </c>
      <c r="B17" s="2">
        <v>91.973076923076931</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60EFB5-9B7E-1642-8B92-B91EEE132F59}">
  <dimension ref="C5:M14"/>
  <sheetViews>
    <sheetView topLeftCell="C1" workbookViewId="0">
      <selection activeCell="H9" sqref="H9"/>
    </sheetView>
  </sheetViews>
  <sheetFormatPr baseColWidth="10" defaultRowHeight="16" x14ac:dyDescent="0.2"/>
  <cols>
    <col min="3" max="11" width="10.85546875" customWidth="1"/>
    <col min="12" max="12" width="11.85546875" customWidth="1"/>
  </cols>
  <sheetData>
    <row r="5" spans="3:13" x14ac:dyDescent="0.2">
      <c r="C5" t="s">
        <v>25</v>
      </c>
      <c r="D5" t="s">
        <v>11</v>
      </c>
      <c r="E5" t="s">
        <v>26</v>
      </c>
      <c r="F5" t="s">
        <v>27</v>
      </c>
      <c r="G5" t="s">
        <v>120</v>
      </c>
      <c r="H5" t="s">
        <v>118</v>
      </c>
      <c r="I5" t="s">
        <v>119</v>
      </c>
      <c r="J5" t="s">
        <v>28</v>
      </c>
      <c r="K5" t="s">
        <v>29</v>
      </c>
      <c r="L5" t="s">
        <v>30</v>
      </c>
      <c r="M5" t="s">
        <v>84</v>
      </c>
    </row>
    <row r="6" spans="3:13" x14ac:dyDescent="0.2">
      <c r="C6" t="s">
        <v>104</v>
      </c>
      <c r="D6" t="s">
        <v>75</v>
      </c>
      <c r="E6" s="3">
        <v>45658</v>
      </c>
      <c r="F6" t="s">
        <v>121</v>
      </c>
      <c r="G6" s="5">
        <v>4892</v>
      </c>
      <c r="H6" s="5">
        <v>1345</v>
      </c>
      <c r="I6">
        <v>43</v>
      </c>
      <c r="J6">
        <v>4</v>
      </c>
      <c r="K6">
        <v>11</v>
      </c>
      <c r="L6">
        <v>0.87</v>
      </c>
      <c r="M6">
        <v>4</v>
      </c>
    </row>
    <row r="7" spans="3:13" x14ac:dyDescent="0.2">
      <c r="C7" t="s">
        <v>110</v>
      </c>
      <c r="D7" t="s">
        <v>81</v>
      </c>
      <c r="E7" s="3">
        <v>45808</v>
      </c>
      <c r="F7" t="s">
        <v>121</v>
      </c>
      <c r="G7" s="5">
        <v>2840</v>
      </c>
      <c r="H7">
        <v>564</v>
      </c>
      <c r="I7">
        <v>6</v>
      </c>
      <c r="J7">
        <v>0</v>
      </c>
      <c r="K7">
        <v>0</v>
      </c>
      <c r="L7">
        <v>0.83</v>
      </c>
      <c r="M7">
        <v>5</v>
      </c>
    </row>
    <row r="8" spans="3:13" x14ac:dyDescent="0.2">
      <c r="C8" t="s">
        <v>111</v>
      </c>
      <c r="D8" t="s">
        <v>75</v>
      </c>
      <c r="E8" s="3">
        <v>45808</v>
      </c>
      <c r="F8" t="s">
        <v>121</v>
      </c>
      <c r="G8" s="5">
        <v>2540</v>
      </c>
      <c r="H8">
        <v>456</v>
      </c>
      <c r="I8">
        <v>14</v>
      </c>
      <c r="J8">
        <v>0</v>
      </c>
      <c r="K8">
        <v>2</v>
      </c>
      <c r="L8">
        <v>0.8</v>
      </c>
      <c r="M8">
        <v>4</v>
      </c>
    </row>
    <row r="9" spans="3:13" x14ac:dyDescent="0.2">
      <c r="C9" t="s">
        <v>112</v>
      </c>
      <c r="D9" t="s">
        <v>81</v>
      </c>
      <c r="E9" s="3">
        <v>45808</v>
      </c>
      <c r="F9" t="s">
        <v>121</v>
      </c>
      <c r="G9" s="5">
        <v>3055</v>
      </c>
      <c r="H9">
        <v>480</v>
      </c>
      <c r="I9">
        <v>14</v>
      </c>
      <c r="J9">
        <v>0</v>
      </c>
      <c r="K9">
        <v>0</v>
      </c>
      <c r="L9">
        <v>0.79</v>
      </c>
      <c r="M9">
        <v>5</v>
      </c>
    </row>
    <row r="10" spans="3:13" x14ac:dyDescent="0.2">
      <c r="C10" t="s">
        <v>113</v>
      </c>
      <c r="D10" t="s">
        <v>105</v>
      </c>
      <c r="E10" s="3">
        <v>45901</v>
      </c>
      <c r="F10" t="s">
        <v>122</v>
      </c>
      <c r="G10" s="5">
        <v>2846</v>
      </c>
      <c r="H10" s="5">
        <v>1820</v>
      </c>
      <c r="I10">
        <v>27</v>
      </c>
      <c r="J10">
        <v>2</v>
      </c>
      <c r="K10">
        <v>10</v>
      </c>
      <c r="L10">
        <v>0.89</v>
      </c>
      <c r="M10">
        <v>10</v>
      </c>
    </row>
    <row r="11" spans="3:13" x14ac:dyDescent="0.2">
      <c r="C11" t="s">
        <v>114</v>
      </c>
      <c r="D11" t="s">
        <v>105</v>
      </c>
      <c r="E11" s="3">
        <v>45901</v>
      </c>
      <c r="F11" t="s">
        <v>121</v>
      </c>
      <c r="G11" s="5">
        <v>3347</v>
      </c>
      <c r="H11">
        <v>478</v>
      </c>
      <c r="I11">
        <v>17</v>
      </c>
      <c r="J11">
        <v>1</v>
      </c>
      <c r="K11">
        <v>2</v>
      </c>
      <c r="L11">
        <v>0.77</v>
      </c>
      <c r="M11">
        <v>10</v>
      </c>
    </row>
    <row r="12" spans="3:13" x14ac:dyDescent="0.2">
      <c r="C12" t="s">
        <v>115</v>
      </c>
      <c r="D12" t="s">
        <v>105</v>
      </c>
      <c r="E12" s="3">
        <v>45901</v>
      </c>
      <c r="F12" t="s">
        <v>121</v>
      </c>
      <c r="G12" s="5">
        <v>3424</v>
      </c>
      <c r="H12">
        <v>555</v>
      </c>
      <c r="I12">
        <v>15</v>
      </c>
      <c r="J12">
        <v>2</v>
      </c>
      <c r="K12">
        <v>0</v>
      </c>
      <c r="L12">
        <v>0.78</v>
      </c>
      <c r="M12">
        <v>10</v>
      </c>
    </row>
    <row r="13" spans="3:13" x14ac:dyDescent="0.2">
      <c r="C13" t="s">
        <v>116</v>
      </c>
      <c r="D13" t="s">
        <v>106</v>
      </c>
      <c r="E13" s="3">
        <v>45922</v>
      </c>
      <c r="F13" t="s">
        <v>121</v>
      </c>
      <c r="G13" s="5">
        <v>2654</v>
      </c>
      <c r="H13">
        <v>429</v>
      </c>
      <c r="I13">
        <v>20</v>
      </c>
      <c r="J13">
        <v>0</v>
      </c>
      <c r="K13">
        <v>0</v>
      </c>
      <c r="L13">
        <v>0.77</v>
      </c>
      <c r="M13">
        <v>7</v>
      </c>
    </row>
    <row r="14" spans="3:13" x14ac:dyDescent="0.2">
      <c r="C14" t="s">
        <v>117</v>
      </c>
      <c r="D14" t="s">
        <v>106</v>
      </c>
      <c r="E14" s="3">
        <v>45922</v>
      </c>
      <c r="F14" t="s">
        <v>121</v>
      </c>
      <c r="G14" s="5">
        <v>2590</v>
      </c>
      <c r="H14">
        <v>411</v>
      </c>
      <c r="I14">
        <v>20</v>
      </c>
      <c r="J14">
        <v>2</v>
      </c>
      <c r="K14">
        <v>4</v>
      </c>
      <c r="L14">
        <v>0.78</v>
      </c>
      <c r="M14">
        <v>7</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F5833C-32B0-1145-B096-824F45CF35AD}">
  <dimension ref="A3:C8"/>
  <sheetViews>
    <sheetView workbookViewId="0">
      <selection activeCell="B9" sqref="B9"/>
    </sheetView>
  </sheetViews>
  <sheetFormatPr baseColWidth="10" defaultRowHeight="16" x14ac:dyDescent="0.2"/>
  <cols>
    <col min="1" max="1" width="12.85546875" customWidth="1"/>
    <col min="2" max="2" width="19.7109375" customWidth="1"/>
    <col min="3" max="3" width="22.42578125" customWidth="1"/>
  </cols>
  <sheetData>
    <row r="3" spans="1:3" x14ac:dyDescent="0.2">
      <c r="A3" s="6" t="s">
        <v>123</v>
      </c>
      <c r="B3" t="s">
        <v>138</v>
      </c>
      <c r="C3" t="s">
        <v>139</v>
      </c>
    </row>
    <row r="4" spans="1:3" x14ac:dyDescent="0.2">
      <c r="A4" s="7" t="s">
        <v>126</v>
      </c>
      <c r="B4" s="2">
        <v>57.540000000000006</v>
      </c>
      <c r="C4" s="12">
        <v>8.0875000000000004</v>
      </c>
    </row>
    <row r="5" spans="1:3" x14ac:dyDescent="0.2">
      <c r="A5" s="7" t="s">
        <v>95</v>
      </c>
      <c r="B5" s="2">
        <v>108.68666666666667</v>
      </c>
      <c r="C5" s="12">
        <v>19.966666666666665</v>
      </c>
    </row>
    <row r="6" spans="1:3" x14ac:dyDescent="0.2">
      <c r="A6" s="7" t="s">
        <v>96</v>
      </c>
      <c r="B6" s="2">
        <v>115.08</v>
      </c>
      <c r="C6" s="12">
        <v>15.976666666666667</v>
      </c>
    </row>
    <row r="7" spans="1:3" x14ac:dyDescent="0.2">
      <c r="A7" s="7" t="s">
        <v>94</v>
      </c>
      <c r="B7" s="2">
        <v>127.86666666666667</v>
      </c>
      <c r="C7" s="12">
        <v>19.306666666666668</v>
      </c>
    </row>
    <row r="8" spans="1:3" x14ac:dyDescent="0.2">
      <c r="A8" s="7" t="s">
        <v>124</v>
      </c>
      <c r="B8" s="2">
        <v>98.850769230769231</v>
      </c>
      <c r="C8" s="12">
        <v>15.238461538461538</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027DD1-9BF4-6F45-8B55-771795B6C7F2}">
  <dimension ref="A3:G8"/>
  <sheetViews>
    <sheetView workbookViewId="0">
      <selection activeCell="F7" sqref="F7"/>
    </sheetView>
  </sheetViews>
  <sheetFormatPr baseColWidth="10" defaultRowHeight="16" x14ac:dyDescent="0.2"/>
  <cols>
    <col min="1" max="1" width="12.85546875" customWidth="1"/>
    <col min="2" max="2" width="28" customWidth="1"/>
    <col min="3" max="3" width="19.85546875" customWidth="1"/>
    <col min="4" max="4" width="15.28515625" customWidth="1"/>
    <col min="5" max="5" width="14.5703125" customWidth="1"/>
    <col min="6" max="6" width="26.28515625" customWidth="1"/>
    <col min="7" max="7" width="15" customWidth="1"/>
  </cols>
  <sheetData>
    <row r="3" spans="1:7" x14ac:dyDescent="0.2">
      <c r="A3" s="6" t="s">
        <v>123</v>
      </c>
      <c r="B3" t="s">
        <v>131</v>
      </c>
      <c r="C3" t="s">
        <v>132</v>
      </c>
      <c r="D3" t="s">
        <v>133</v>
      </c>
      <c r="E3" t="s">
        <v>134</v>
      </c>
      <c r="F3" s="9" t="s">
        <v>135</v>
      </c>
      <c r="G3" t="s">
        <v>136</v>
      </c>
    </row>
    <row r="4" spans="1:7" x14ac:dyDescent="0.2">
      <c r="A4" s="7" t="s">
        <v>75</v>
      </c>
      <c r="B4" s="8">
        <v>0.83499999999999996</v>
      </c>
      <c r="C4" s="8">
        <v>6.5</v>
      </c>
      <c r="D4" s="8">
        <v>2</v>
      </c>
      <c r="E4" s="8">
        <v>28.5</v>
      </c>
      <c r="F4" s="9">
        <v>900.5</v>
      </c>
      <c r="G4" s="5">
        <v>3716</v>
      </c>
    </row>
    <row r="5" spans="1:7" x14ac:dyDescent="0.2">
      <c r="A5" s="7" t="s">
        <v>81</v>
      </c>
      <c r="B5" s="8">
        <v>0.81</v>
      </c>
      <c r="C5" s="8">
        <v>0</v>
      </c>
      <c r="D5" s="8">
        <v>0</v>
      </c>
      <c r="E5" s="8">
        <v>10</v>
      </c>
      <c r="F5" s="9">
        <v>522</v>
      </c>
      <c r="G5" s="5">
        <v>2947.5</v>
      </c>
    </row>
    <row r="6" spans="1:7" x14ac:dyDescent="0.2">
      <c r="A6" s="7" t="s">
        <v>105</v>
      </c>
      <c r="B6" s="8">
        <v>0.81333333333333346</v>
      </c>
      <c r="C6" s="8">
        <v>4</v>
      </c>
      <c r="D6" s="8">
        <v>1.6666666666666667</v>
      </c>
      <c r="E6" s="8">
        <v>19.666666666666668</v>
      </c>
      <c r="F6" s="9">
        <v>951</v>
      </c>
      <c r="G6" s="5">
        <v>3205.6666666666665</v>
      </c>
    </row>
    <row r="7" spans="1:7" x14ac:dyDescent="0.2">
      <c r="A7" s="7" t="s">
        <v>106</v>
      </c>
      <c r="B7" s="8">
        <v>0.77500000000000002</v>
      </c>
      <c r="C7" s="8">
        <v>2</v>
      </c>
      <c r="D7" s="8">
        <v>1</v>
      </c>
      <c r="E7" s="8">
        <v>20</v>
      </c>
      <c r="F7" s="9">
        <v>420</v>
      </c>
      <c r="G7" s="5">
        <v>2622</v>
      </c>
    </row>
    <row r="8" spans="1:7" x14ac:dyDescent="0.2">
      <c r="A8" s="7" t="s">
        <v>124</v>
      </c>
      <c r="B8" s="8">
        <v>0.80888888888888888</v>
      </c>
      <c r="C8" s="8">
        <v>3.2222222222222223</v>
      </c>
      <c r="D8" s="8">
        <v>1.2222222222222223</v>
      </c>
      <c r="E8" s="8">
        <v>19.555555555555557</v>
      </c>
      <c r="F8" s="9">
        <v>726.44444444444446</v>
      </c>
      <c r="G8" s="5">
        <v>3132</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E0432D-C4D6-9D43-8C2C-8768BDFBEEC6}">
  <dimension ref="C5:H16"/>
  <sheetViews>
    <sheetView workbookViewId="0">
      <selection activeCell="H6" sqref="H6"/>
    </sheetView>
  </sheetViews>
  <sheetFormatPr baseColWidth="10" defaultRowHeight="16" x14ac:dyDescent="0.2"/>
  <cols>
    <col min="3" max="8" width="10.85546875" customWidth="1"/>
  </cols>
  <sheetData>
    <row r="5" spans="3:8" x14ac:dyDescent="0.2">
      <c r="C5" t="s">
        <v>11</v>
      </c>
      <c r="D5" t="s">
        <v>19</v>
      </c>
      <c r="E5" t="s">
        <v>18</v>
      </c>
      <c r="F5" t="s">
        <v>31</v>
      </c>
      <c r="G5" t="s">
        <v>16</v>
      </c>
      <c r="H5" t="s">
        <v>32</v>
      </c>
    </row>
    <row r="6" spans="3:8" x14ac:dyDescent="0.2">
      <c r="C6" t="s">
        <v>71</v>
      </c>
      <c r="D6" s="1">
        <v>40</v>
      </c>
      <c r="E6" s="2">
        <v>148.63999999999999</v>
      </c>
      <c r="F6" s="2">
        <v>14.38</v>
      </c>
      <c r="G6">
        <v>7</v>
      </c>
      <c r="H6" s="2">
        <v>108.64</v>
      </c>
    </row>
    <row r="7" spans="3:8" x14ac:dyDescent="0.2">
      <c r="C7" t="s">
        <v>72</v>
      </c>
      <c r="D7" s="1">
        <v>60</v>
      </c>
      <c r="E7" s="2">
        <v>105.59</v>
      </c>
      <c r="F7" s="1">
        <v>10</v>
      </c>
      <c r="G7">
        <v>5</v>
      </c>
      <c r="H7" s="2">
        <v>95.59</v>
      </c>
    </row>
    <row r="8" spans="3:8" x14ac:dyDescent="0.2">
      <c r="C8" t="s">
        <v>73</v>
      </c>
      <c r="D8" s="1">
        <v>20</v>
      </c>
      <c r="E8" s="2">
        <v>52.74</v>
      </c>
      <c r="F8" s="2">
        <v>14.38</v>
      </c>
      <c r="G8">
        <v>2</v>
      </c>
      <c r="H8" s="2">
        <v>38.36</v>
      </c>
    </row>
    <row r="9" spans="3:8" x14ac:dyDescent="0.2">
      <c r="C9" t="s">
        <v>74</v>
      </c>
      <c r="D9" s="1">
        <v>50</v>
      </c>
      <c r="E9" s="2">
        <v>139.04</v>
      </c>
      <c r="F9" s="2">
        <v>23.96</v>
      </c>
      <c r="G9">
        <v>6</v>
      </c>
      <c r="H9" s="2">
        <v>115.08</v>
      </c>
    </row>
    <row r="10" spans="3:8" x14ac:dyDescent="0.2">
      <c r="C10" t="s">
        <v>75</v>
      </c>
      <c r="D10" s="1">
        <v>35</v>
      </c>
      <c r="E10" s="2">
        <v>82.71</v>
      </c>
      <c r="F10" s="2">
        <v>5.99</v>
      </c>
      <c r="G10">
        <v>4</v>
      </c>
      <c r="H10" s="2">
        <v>76.72</v>
      </c>
    </row>
    <row r="11" spans="3:8" x14ac:dyDescent="0.2">
      <c r="C11" t="s">
        <v>76</v>
      </c>
      <c r="D11" s="1">
        <v>25</v>
      </c>
      <c r="E11" s="2">
        <v>82.71</v>
      </c>
      <c r="F11" s="2">
        <v>5.99</v>
      </c>
      <c r="G11">
        <v>4</v>
      </c>
      <c r="H11" s="2">
        <v>76.72</v>
      </c>
    </row>
    <row r="12" spans="3:8" x14ac:dyDescent="0.2">
      <c r="C12" t="s">
        <v>77</v>
      </c>
      <c r="D12" s="1">
        <v>55</v>
      </c>
      <c r="E12" s="2">
        <v>133.05000000000001</v>
      </c>
      <c r="F12" s="2">
        <v>17.97</v>
      </c>
      <c r="G12">
        <v>6</v>
      </c>
      <c r="H12" s="2">
        <v>115.08</v>
      </c>
    </row>
    <row r="13" spans="3:8" x14ac:dyDescent="0.2">
      <c r="C13" t="s">
        <v>78</v>
      </c>
      <c r="D13" s="1">
        <v>50</v>
      </c>
      <c r="E13" s="2">
        <v>113.87</v>
      </c>
      <c r="F13" s="2">
        <v>17.97</v>
      </c>
      <c r="G13">
        <v>5</v>
      </c>
      <c r="H13" s="2">
        <v>95.9</v>
      </c>
    </row>
    <row r="14" spans="3:8" x14ac:dyDescent="0.2">
      <c r="C14" t="s">
        <v>79</v>
      </c>
      <c r="D14" s="1">
        <v>25</v>
      </c>
      <c r="E14" s="2">
        <v>44.35</v>
      </c>
      <c r="F14" s="2">
        <v>5.99</v>
      </c>
      <c r="G14">
        <v>2</v>
      </c>
      <c r="H14" s="2">
        <v>38.36</v>
      </c>
    </row>
    <row r="15" spans="3:8" x14ac:dyDescent="0.2">
      <c r="C15" t="s">
        <v>80</v>
      </c>
      <c r="D15" s="1">
        <v>35</v>
      </c>
      <c r="E15" s="2">
        <v>88.7</v>
      </c>
      <c r="F15" s="2">
        <v>11.98</v>
      </c>
      <c r="G15">
        <v>4</v>
      </c>
      <c r="H15" s="2">
        <v>76.72</v>
      </c>
    </row>
    <row r="16" spans="3:8" x14ac:dyDescent="0.2">
      <c r="C16" t="s">
        <v>81</v>
      </c>
      <c r="D16" s="1">
        <v>45</v>
      </c>
      <c r="E16" s="2">
        <v>113.87</v>
      </c>
      <c r="F16" s="2">
        <v>17.97</v>
      </c>
      <c r="G16">
        <v>5</v>
      </c>
      <c r="H16" s="2">
        <v>95.9</v>
      </c>
    </row>
  </sheetData>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D7CAD4-BEB0-9149-A68E-2B0742612852}">
  <dimension ref="A1:J66"/>
  <sheetViews>
    <sheetView workbookViewId="0">
      <selection activeCell="A8" sqref="A8:J9"/>
    </sheetView>
  </sheetViews>
  <sheetFormatPr baseColWidth="10" defaultRowHeight="16" x14ac:dyDescent="0.2"/>
  <sheetData>
    <row r="1" spans="1:10" x14ac:dyDescent="0.2">
      <c r="A1" s="10" t="s">
        <v>140</v>
      </c>
      <c r="B1" s="10"/>
      <c r="C1" s="10"/>
      <c r="D1" s="10"/>
      <c r="E1" s="10"/>
      <c r="F1" s="10"/>
      <c r="G1" s="10"/>
      <c r="H1" s="10"/>
      <c r="I1" s="10"/>
      <c r="J1" s="10"/>
    </row>
    <row r="2" spans="1:10" x14ac:dyDescent="0.2">
      <c r="A2" s="13" t="s">
        <v>142</v>
      </c>
      <c r="B2" s="13"/>
      <c r="C2" s="13"/>
      <c r="D2" s="13"/>
      <c r="E2" s="13"/>
      <c r="F2" s="13"/>
      <c r="G2" s="13"/>
      <c r="H2" s="13"/>
      <c r="I2" s="13"/>
      <c r="J2" s="13"/>
    </row>
    <row r="3" spans="1:10" x14ac:dyDescent="0.2">
      <c r="A3" s="13" t="s">
        <v>141</v>
      </c>
      <c r="B3" s="13"/>
      <c r="C3" s="13"/>
      <c r="D3" s="13"/>
      <c r="E3" s="13"/>
      <c r="F3" s="13"/>
      <c r="G3" s="13"/>
      <c r="H3" s="13"/>
      <c r="I3" s="13"/>
      <c r="J3" s="13"/>
    </row>
    <row r="4" spans="1:10" x14ac:dyDescent="0.2">
      <c r="A4" s="10"/>
      <c r="B4" s="10"/>
      <c r="C4" s="10"/>
      <c r="D4" s="10"/>
      <c r="E4" s="10"/>
      <c r="F4" s="10"/>
      <c r="G4" s="10"/>
      <c r="H4" s="10"/>
      <c r="I4" s="10"/>
      <c r="J4" s="10"/>
    </row>
    <row r="5" spans="1:10" x14ac:dyDescent="0.2">
      <c r="A5" s="10"/>
      <c r="B5" s="10"/>
      <c r="C5" s="10"/>
      <c r="D5" s="10"/>
      <c r="E5" s="10"/>
      <c r="F5" s="10"/>
      <c r="G5" s="10"/>
      <c r="H5" s="10"/>
      <c r="I5" s="10"/>
      <c r="J5" s="10"/>
    </row>
    <row r="6" spans="1:10" x14ac:dyDescent="0.2">
      <c r="A6" s="10"/>
      <c r="B6" s="10"/>
      <c r="C6" s="10"/>
      <c r="D6" s="10"/>
      <c r="E6" s="10"/>
      <c r="F6" s="10"/>
      <c r="G6" s="10"/>
      <c r="H6" s="10"/>
      <c r="I6" s="10"/>
      <c r="J6" s="10"/>
    </row>
    <row r="7" spans="1:10" x14ac:dyDescent="0.2">
      <c r="A7" s="10"/>
      <c r="B7" s="10"/>
      <c r="C7" s="10"/>
      <c r="D7" s="10"/>
      <c r="E7" s="10"/>
      <c r="F7" s="10"/>
      <c r="G7" s="10"/>
      <c r="H7" s="10"/>
      <c r="I7" s="10"/>
      <c r="J7" s="10"/>
    </row>
    <row r="8" spans="1:10" x14ac:dyDescent="0.2">
      <c r="A8" s="10"/>
      <c r="B8" s="10"/>
      <c r="C8" s="10"/>
      <c r="D8" s="10"/>
      <c r="E8" s="10"/>
      <c r="F8" s="10"/>
      <c r="G8" s="10"/>
      <c r="H8" s="10"/>
      <c r="I8" s="10"/>
      <c r="J8" s="10"/>
    </row>
    <row r="9" spans="1:10" x14ac:dyDescent="0.2">
      <c r="A9" s="10"/>
      <c r="B9" s="10"/>
      <c r="C9" s="10"/>
      <c r="D9" s="10"/>
      <c r="E9" s="10"/>
      <c r="F9" s="10"/>
      <c r="G9" s="10"/>
      <c r="H9" s="10"/>
      <c r="I9" s="10"/>
      <c r="J9" s="10"/>
    </row>
    <row r="10" spans="1:10" x14ac:dyDescent="0.2">
      <c r="A10" s="10"/>
      <c r="B10" s="10"/>
      <c r="C10" s="10"/>
      <c r="D10" s="10"/>
      <c r="E10" s="10"/>
      <c r="F10" s="10"/>
      <c r="G10" s="10"/>
      <c r="H10" s="10"/>
      <c r="I10" s="10"/>
      <c r="J10" s="10"/>
    </row>
    <row r="11" spans="1:10" x14ac:dyDescent="0.2">
      <c r="A11" s="10"/>
      <c r="B11" s="10"/>
      <c r="C11" s="10"/>
      <c r="D11" s="10"/>
      <c r="E11" s="10"/>
      <c r="F11" s="10"/>
      <c r="G11" s="10"/>
      <c r="H11" s="10"/>
      <c r="I11" s="10"/>
      <c r="J11" s="10"/>
    </row>
    <row r="12" spans="1:10" x14ac:dyDescent="0.2">
      <c r="A12" s="10"/>
      <c r="B12" s="10"/>
      <c r="C12" s="10"/>
      <c r="D12" s="10"/>
      <c r="E12" s="10"/>
      <c r="F12" s="10"/>
      <c r="G12" s="10"/>
      <c r="H12" s="10"/>
      <c r="I12" s="10"/>
      <c r="J12" s="10"/>
    </row>
    <row r="13" spans="1:10" x14ac:dyDescent="0.2">
      <c r="A13" s="10"/>
      <c r="B13" s="10"/>
      <c r="C13" s="10"/>
      <c r="D13" s="10"/>
      <c r="E13" s="10"/>
      <c r="F13" s="10"/>
      <c r="G13" s="10"/>
      <c r="H13" s="10"/>
      <c r="I13" s="10"/>
      <c r="J13" s="10"/>
    </row>
    <row r="14" spans="1:10" x14ac:dyDescent="0.2">
      <c r="A14" s="10"/>
      <c r="B14" s="10"/>
      <c r="C14" s="10"/>
      <c r="D14" s="10"/>
      <c r="E14" s="10"/>
      <c r="F14" s="10"/>
      <c r="G14" s="10"/>
      <c r="H14" s="10"/>
      <c r="I14" s="10"/>
      <c r="J14" s="10"/>
    </row>
    <row r="15" spans="1:10" x14ac:dyDescent="0.2">
      <c r="A15" s="10"/>
      <c r="B15" s="10"/>
      <c r="C15" s="10"/>
      <c r="D15" s="10"/>
      <c r="E15" s="10"/>
      <c r="F15" s="10"/>
      <c r="G15" s="10"/>
      <c r="H15" s="10"/>
      <c r="I15" s="10"/>
      <c r="J15" s="10"/>
    </row>
    <row r="16" spans="1:10" x14ac:dyDescent="0.2">
      <c r="A16" s="10"/>
      <c r="B16" s="10"/>
      <c r="C16" s="10"/>
      <c r="D16" s="10"/>
      <c r="E16" s="10"/>
      <c r="F16" s="10"/>
      <c r="G16" s="10"/>
      <c r="H16" s="10"/>
      <c r="I16" s="10"/>
      <c r="J16" s="10"/>
    </row>
    <row r="17" spans="1:10" x14ac:dyDescent="0.2">
      <c r="A17" s="10"/>
      <c r="B17" s="10"/>
      <c r="C17" s="10"/>
      <c r="D17" s="10"/>
      <c r="E17" s="10"/>
      <c r="F17" s="10"/>
      <c r="G17" s="10"/>
      <c r="H17" s="10"/>
      <c r="I17" s="10"/>
      <c r="J17" s="10"/>
    </row>
    <row r="18" spans="1:10" x14ac:dyDescent="0.2">
      <c r="A18" s="10"/>
      <c r="B18" s="10"/>
      <c r="C18" s="10"/>
      <c r="D18" s="10"/>
      <c r="E18" s="10"/>
      <c r="F18" s="10"/>
      <c r="G18" s="10"/>
      <c r="H18" s="10"/>
      <c r="I18" s="10"/>
      <c r="J18" s="10"/>
    </row>
    <row r="19" spans="1:10" x14ac:dyDescent="0.2">
      <c r="A19" s="10"/>
      <c r="B19" s="10"/>
      <c r="C19" s="10"/>
      <c r="D19" s="10"/>
      <c r="E19" s="10"/>
      <c r="F19" s="10"/>
      <c r="G19" s="10"/>
      <c r="H19" s="10"/>
      <c r="I19" s="10"/>
      <c r="J19" s="10"/>
    </row>
    <row r="20" spans="1:10" x14ac:dyDescent="0.2">
      <c r="A20" s="10"/>
      <c r="B20" s="10"/>
      <c r="C20" s="10"/>
      <c r="D20" s="10"/>
      <c r="E20" s="10"/>
      <c r="F20" s="10"/>
      <c r="G20" s="10"/>
      <c r="H20" s="10"/>
      <c r="I20" s="10"/>
      <c r="J20" s="10"/>
    </row>
    <row r="21" spans="1:10" x14ac:dyDescent="0.2">
      <c r="A21" s="10"/>
      <c r="B21" s="10"/>
      <c r="C21" s="10"/>
      <c r="D21" s="10"/>
      <c r="E21" s="10"/>
      <c r="F21" s="10"/>
      <c r="G21" s="10"/>
      <c r="H21" s="10"/>
      <c r="I21" s="10"/>
      <c r="J21" s="10"/>
    </row>
    <row r="22" spans="1:10" x14ac:dyDescent="0.2">
      <c r="A22" s="10"/>
      <c r="B22" s="10"/>
      <c r="C22" s="10"/>
      <c r="D22" s="10"/>
      <c r="E22" s="10"/>
      <c r="F22" s="10"/>
      <c r="G22" s="10"/>
      <c r="H22" s="10"/>
      <c r="I22" s="10"/>
      <c r="J22" s="10"/>
    </row>
    <row r="23" spans="1:10" x14ac:dyDescent="0.2">
      <c r="A23" s="10"/>
      <c r="B23" s="10"/>
      <c r="C23" s="10"/>
      <c r="D23" s="10"/>
      <c r="E23" s="10"/>
      <c r="F23" s="10"/>
      <c r="G23" s="10"/>
      <c r="H23" s="10"/>
      <c r="I23" s="10"/>
      <c r="J23" s="10"/>
    </row>
    <row r="24" spans="1:10" x14ac:dyDescent="0.2">
      <c r="A24" s="10"/>
      <c r="B24" s="10"/>
      <c r="C24" s="10"/>
      <c r="D24" s="10"/>
      <c r="E24" s="10"/>
      <c r="F24" s="10"/>
      <c r="G24" s="10"/>
      <c r="H24" s="10"/>
      <c r="I24" s="10"/>
      <c r="J24" s="10"/>
    </row>
    <row r="25" spans="1:10" x14ac:dyDescent="0.2">
      <c r="A25" s="10"/>
      <c r="B25" s="10"/>
      <c r="C25" s="10"/>
      <c r="D25" s="10"/>
      <c r="E25" s="10"/>
      <c r="F25" s="10"/>
      <c r="G25" s="10"/>
      <c r="H25" s="10"/>
      <c r="I25" s="10"/>
      <c r="J25" s="10"/>
    </row>
    <row r="26" spans="1:10" x14ac:dyDescent="0.2">
      <c r="A26" s="10"/>
      <c r="B26" s="10"/>
      <c r="C26" s="10"/>
      <c r="D26" s="10"/>
      <c r="E26" s="10"/>
      <c r="F26" s="10"/>
      <c r="G26" s="10"/>
      <c r="H26" s="10"/>
      <c r="I26" s="10"/>
      <c r="J26" s="10"/>
    </row>
    <row r="27" spans="1:10" x14ac:dyDescent="0.2">
      <c r="A27" s="10"/>
      <c r="B27" s="10"/>
      <c r="C27" s="10"/>
      <c r="D27" s="10"/>
      <c r="E27" s="10"/>
      <c r="F27" s="10"/>
      <c r="G27" s="10"/>
      <c r="H27" s="10"/>
      <c r="I27" s="10"/>
      <c r="J27" s="10"/>
    </row>
    <row r="28" spans="1:10" x14ac:dyDescent="0.2">
      <c r="A28" s="10"/>
      <c r="B28" s="10"/>
      <c r="C28" s="10"/>
      <c r="D28" s="10"/>
      <c r="E28" s="10"/>
      <c r="F28" s="10"/>
      <c r="G28" s="10"/>
      <c r="H28" s="10"/>
      <c r="I28" s="10"/>
      <c r="J28" s="10"/>
    </row>
    <row r="29" spans="1:10" x14ac:dyDescent="0.2">
      <c r="A29" s="10"/>
      <c r="B29" s="10"/>
      <c r="C29" s="10"/>
      <c r="D29" s="10"/>
      <c r="E29" s="10"/>
      <c r="F29" s="10"/>
      <c r="G29" s="10"/>
      <c r="H29" s="10"/>
      <c r="I29" s="10"/>
      <c r="J29" s="10"/>
    </row>
    <row r="30" spans="1:10" x14ac:dyDescent="0.2">
      <c r="A30" s="10"/>
      <c r="B30" s="10"/>
      <c r="C30" s="10"/>
      <c r="D30" s="10"/>
      <c r="E30" s="10"/>
      <c r="F30" s="10"/>
      <c r="G30" s="10"/>
      <c r="H30" s="10"/>
      <c r="I30" s="10"/>
      <c r="J30" s="10"/>
    </row>
    <row r="31" spans="1:10" x14ac:dyDescent="0.2">
      <c r="A31" s="10"/>
      <c r="B31" s="10"/>
      <c r="C31" s="10"/>
      <c r="D31" s="10"/>
      <c r="E31" s="10"/>
      <c r="F31" s="10"/>
      <c r="G31" s="10"/>
      <c r="H31" s="10"/>
      <c r="I31" s="10"/>
      <c r="J31" s="10"/>
    </row>
    <row r="32" spans="1:10" x14ac:dyDescent="0.2">
      <c r="A32" s="10"/>
      <c r="B32" s="10"/>
      <c r="C32" s="10"/>
      <c r="D32" s="10"/>
      <c r="E32" s="10"/>
      <c r="F32" s="10"/>
      <c r="G32" s="10"/>
      <c r="H32" s="10"/>
      <c r="I32" s="10"/>
      <c r="J32" s="10"/>
    </row>
    <row r="33" spans="1:10" x14ac:dyDescent="0.2">
      <c r="A33" s="10"/>
      <c r="B33" s="10"/>
      <c r="C33" s="10"/>
      <c r="D33" s="10"/>
      <c r="E33" s="10"/>
      <c r="F33" s="10"/>
      <c r="G33" s="10"/>
      <c r="H33" s="10"/>
      <c r="I33" s="10"/>
      <c r="J33" s="10"/>
    </row>
    <row r="34" spans="1:10" x14ac:dyDescent="0.2">
      <c r="A34" s="10"/>
      <c r="B34" s="10"/>
      <c r="C34" s="10"/>
      <c r="D34" s="10"/>
      <c r="E34" s="10"/>
      <c r="F34" s="10"/>
      <c r="G34" s="10"/>
      <c r="H34" s="10"/>
      <c r="I34" s="10"/>
      <c r="J34" s="10"/>
    </row>
    <row r="35" spans="1:10" x14ac:dyDescent="0.2">
      <c r="A35" s="10"/>
      <c r="B35" s="10"/>
      <c r="C35" s="10"/>
      <c r="D35" s="10"/>
      <c r="E35" s="10"/>
      <c r="F35" s="10"/>
      <c r="G35" s="10"/>
      <c r="H35" s="10"/>
      <c r="I35" s="10"/>
      <c r="J35" s="10"/>
    </row>
    <row r="36" spans="1:10" x14ac:dyDescent="0.2">
      <c r="A36" s="10"/>
      <c r="B36" s="10"/>
      <c r="C36" s="10"/>
      <c r="D36" s="10"/>
      <c r="E36" s="10"/>
      <c r="F36" s="10"/>
      <c r="G36" s="10"/>
      <c r="H36" s="10"/>
      <c r="I36" s="10"/>
      <c r="J36" s="10"/>
    </row>
    <row r="37" spans="1:10" x14ac:dyDescent="0.2">
      <c r="A37" s="10"/>
      <c r="B37" s="10"/>
      <c r="C37" s="10"/>
      <c r="D37" s="10"/>
      <c r="E37" s="10"/>
      <c r="F37" s="10"/>
      <c r="G37" s="10"/>
      <c r="H37" s="10"/>
      <c r="I37" s="10"/>
      <c r="J37" s="10"/>
    </row>
    <row r="38" spans="1:10" x14ac:dyDescent="0.2">
      <c r="A38" s="10"/>
      <c r="B38" s="10"/>
      <c r="C38" s="10"/>
      <c r="D38" s="10"/>
      <c r="E38" s="10"/>
      <c r="F38" s="10"/>
      <c r="G38" s="10"/>
      <c r="H38" s="10"/>
      <c r="I38" s="10"/>
      <c r="J38" s="10"/>
    </row>
    <row r="39" spans="1:10" x14ac:dyDescent="0.2">
      <c r="A39" s="10"/>
      <c r="B39" s="10"/>
      <c r="C39" s="10"/>
      <c r="D39" s="10"/>
      <c r="E39" s="10"/>
      <c r="F39" s="10"/>
      <c r="G39" s="10"/>
      <c r="H39" s="10"/>
      <c r="I39" s="10"/>
      <c r="J39" s="10"/>
    </row>
    <row r="40" spans="1:10" x14ac:dyDescent="0.2">
      <c r="A40" s="10"/>
      <c r="B40" s="10"/>
      <c r="C40" s="10"/>
      <c r="D40" s="10"/>
      <c r="E40" s="10"/>
      <c r="F40" s="10"/>
      <c r="G40" s="10"/>
      <c r="H40" s="10"/>
      <c r="I40" s="10"/>
      <c r="J40" s="10"/>
    </row>
    <row r="41" spans="1:10" x14ac:dyDescent="0.2">
      <c r="A41" s="10"/>
      <c r="B41" s="10"/>
      <c r="C41" s="10"/>
      <c r="D41" s="10"/>
      <c r="E41" s="10"/>
      <c r="F41" s="10"/>
      <c r="G41" s="10"/>
      <c r="H41" s="10"/>
      <c r="I41" s="10"/>
      <c r="J41" s="10"/>
    </row>
    <row r="42" spans="1:10" x14ac:dyDescent="0.2">
      <c r="A42" s="10"/>
      <c r="B42" s="10"/>
      <c r="C42" s="10"/>
      <c r="D42" s="10"/>
      <c r="E42" s="10"/>
      <c r="F42" s="10"/>
      <c r="G42" s="10"/>
      <c r="H42" s="10"/>
      <c r="I42" s="10"/>
      <c r="J42" s="10"/>
    </row>
    <row r="43" spans="1:10" x14ac:dyDescent="0.2">
      <c r="A43" s="10"/>
      <c r="B43" s="10"/>
      <c r="C43" s="10"/>
      <c r="D43" s="10"/>
      <c r="E43" s="10"/>
      <c r="F43" s="10"/>
      <c r="G43" s="10"/>
      <c r="H43" s="10"/>
      <c r="I43" s="10"/>
      <c r="J43" s="10"/>
    </row>
    <row r="44" spans="1:10" x14ac:dyDescent="0.2">
      <c r="A44" s="10"/>
      <c r="B44" s="10"/>
      <c r="C44" s="10"/>
      <c r="D44" s="10"/>
      <c r="E44" s="10"/>
      <c r="F44" s="10"/>
      <c r="G44" s="10"/>
      <c r="H44" s="10"/>
      <c r="I44" s="10"/>
      <c r="J44" s="10"/>
    </row>
    <row r="45" spans="1:10" ht="22" x14ac:dyDescent="0.3">
      <c r="A45" s="14" t="s">
        <v>144</v>
      </c>
      <c r="B45" s="11"/>
      <c r="C45" s="11"/>
      <c r="D45" s="11"/>
      <c r="E45" s="11"/>
      <c r="F45" s="11"/>
      <c r="G45" s="11"/>
      <c r="H45" s="11"/>
      <c r="I45" s="11"/>
      <c r="J45" s="11"/>
    </row>
    <row r="46" spans="1:10" x14ac:dyDescent="0.2">
      <c r="A46" s="10"/>
      <c r="B46" s="10"/>
      <c r="C46" s="10"/>
      <c r="D46" s="10"/>
      <c r="E46" s="10"/>
      <c r="F46" s="10"/>
      <c r="G46" s="10"/>
      <c r="H46" s="10"/>
      <c r="I46" s="10"/>
      <c r="J46" s="10"/>
    </row>
    <row r="47" spans="1:10" x14ac:dyDescent="0.2">
      <c r="A47" s="10"/>
      <c r="B47" s="10"/>
      <c r="C47" s="10"/>
      <c r="D47" s="10"/>
      <c r="E47" s="10"/>
      <c r="F47" s="10"/>
      <c r="G47" s="10"/>
      <c r="H47" s="10"/>
      <c r="I47" s="10"/>
      <c r="J47" s="10"/>
    </row>
    <row r="48" spans="1:10" x14ac:dyDescent="0.2">
      <c r="A48" s="10"/>
      <c r="B48" s="10"/>
      <c r="C48" s="10"/>
      <c r="D48" s="10"/>
      <c r="E48" s="10"/>
      <c r="F48" s="10"/>
      <c r="G48" s="10"/>
      <c r="H48" s="10"/>
      <c r="I48" s="10"/>
      <c r="J48" s="10"/>
    </row>
    <row r="49" spans="1:10" x14ac:dyDescent="0.2">
      <c r="A49" s="10"/>
      <c r="B49" s="10"/>
      <c r="C49" s="10"/>
      <c r="D49" s="10"/>
      <c r="E49" s="10"/>
      <c r="F49" s="10"/>
      <c r="G49" s="10"/>
      <c r="H49" s="10"/>
      <c r="I49" s="10"/>
      <c r="J49" s="10"/>
    </row>
    <row r="50" spans="1:10" x14ac:dyDescent="0.2">
      <c r="A50" s="10"/>
      <c r="B50" s="10"/>
      <c r="C50" s="10"/>
      <c r="D50" s="10"/>
      <c r="E50" s="10"/>
      <c r="F50" s="10"/>
      <c r="G50" s="10"/>
      <c r="H50" s="10"/>
      <c r="I50" s="10"/>
      <c r="J50" s="10"/>
    </row>
    <row r="51" spans="1:10" x14ac:dyDescent="0.2">
      <c r="A51" s="10"/>
      <c r="B51" s="10"/>
      <c r="C51" s="10"/>
      <c r="D51" s="10"/>
      <c r="E51" s="10"/>
      <c r="F51" s="10"/>
      <c r="G51" s="10"/>
      <c r="H51" s="10"/>
      <c r="I51" s="10"/>
      <c r="J51" s="10"/>
    </row>
    <row r="52" spans="1:10" x14ac:dyDescent="0.2">
      <c r="A52" s="10"/>
      <c r="B52" s="10"/>
      <c r="C52" s="10"/>
      <c r="D52" s="10"/>
      <c r="E52" s="10"/>
      <c r="F52" s="10"/>
      <c r="G52" s="10"/>
      <c r="H52" s="10"/>
      <c r="I52" s="10"/>
      <c r="J52" s="10"/>
    </row>
    <row r="53" spans="1:10" x14ac:dyDescent="0.2">
      <c r="A53" s="10"/>
      <c r="B53" s="10"/>
      <c r="C53" s="10"/>
      <c r="D53" s="10"/>
      <c r="E53" s="10"/>
      <c r="F53" s="10"/>
      <c r="G53" s="10"/>
      <c r="H53" s="10"/>
      <c r="I53" s="10"/>
      <c r="J53" s="10"/>
    </row>
    <row r="54" spans="1:10" x14ac:dyDescent="0.2">
      <c r="A54" s="10"/>
      <c r="B54" s="10"/>
      <c r="C54" s="10"/>
      <c r="D54" s="10"/>
      <c r="E54" s="10"/>
      <c r="F54" s="10"/>
      <c r="G54" s="10"/>
      <c r="H54" s="10"/>
      <c r="I54" s="10"/>
      <c r="J54" s="10"/>
    </row>
    <row r="55" spans="1:10" x14ac:dyDescent="0.2">
      <c r="A55" s="10"/>
      <c r="B55" s="10"/>
      <c r="C55" s="10"/>
      <c r="D55" s="10"/>
      <c r="E55" s="10"/>
      <c r="F55" s="10"/>
      <c r="G55" s="10"/>
      <c r="H55" s="10"/>
      <c r="I55" s="10"/>
      <c r="J55" s="10"/>
    </row>
    <row r="56" spans="1:10" x14ac:dyDescent="0.2">
      <c r="A56" s="10"/>
      <c r="B56" s="10"/>
      <c r="C56" s="10"/>
      <c r="D56" s="10"/>
      <c r="E56" s="10"/>
      <c r="F56" s="10"/>
      <c r="G56" s="10"/>
      <c r="H56" s="10"/>
      <c r="I56" s="10"/>
      <c r="J56" s="10"/>
    </row>
    <row r="57" spans="1:10" x14ac:dyDescent="0.2">
      <c r="A57" s="10"/>
      <c r="B57" s="10"/>
      <c r="C57" s="10"/>
      <c r="D57" s="10"/>
      <c r="E57" s="10"/>
      <c r="F57" s="10"/>
      <c r="G57" s="10"/>
      <c r="H57" s="10"/>
      <c r="I57" s="10"/>
      <c r="J57" s="10"/>
    </row>
    <row r="58" spans="1:10" x14ac:dyDescent="0.2">
      <c r="A58" s="10"/>
      <c r="B58" s="10"/>
      <c r="C58" s="10"/>
      <c r="D58" s="10"/>
      <c r="E58" s="10"/>
      <c r="F58" s="10"/>
      <c r="G58" s="10"/>
      <c r="H58" s="10"/>
      <c r="I58" s="10"/>
      <c r="J58" s="10"/>
    </row>
    <row r="59" spans="1:10" x14ac:dyDescent="0.2">
      <c r="A59" s="10"/>
      <c r="B59" s="10"/>
      <c r="C59" s="10"/>
      <c r="D59" s="10"/>
      <c r="E59" s="10"/>
      <c r="F59" s="10"/>
      <c r="G59" s="10"/>
      <c r="H59" s="10"/>
      <c r="I59" s="10"/>
      <c r="J59" s="10"/>
    </row>
    <row r="60" spans="1:10" x14ac:dyDescent="0.2">
      <c r="A60" s="10"/>
      <c r="B60" s="10"/>
      <c r="C60" s="10"/>
      <c r="D60" s="10"/>
      <c r="E60" s="10"/>
      <c r="F60" s="10"/>
      <c r="G60" s="10"/>
      <c r="H60" s="10"/>
      <c r="I60" s="10"/>
      <c r="J60" s="10"/>
    </row>
    <row r="61" spans="1:10" x14ac:dyDescent="0.2">
      <c r="A61" s="10"/>
      <c r="B61" s="10"/>
      <c r="C61" s="10"/>
      <c r="D61" s="10"/>
      <c r="E61" s="10"/>
      <c r="F61" s="10"/>
      <c r="G61" s="10"/>
      <c r="H61" s="10"/>
      <c r="I61" s="10"/>
      <c r="J61" s="10"/>
    </row>
    <row r="62" spans="1:10" x14ac:dyDescent="0.2">
      <c r="A62" s="10"/>
      <c r="B62" s="10"/>
      <c r="C62" s="10"/>
      <c r="D62" s="10"/>
      <c r="E62" s="10"/>
      <c r="F62" s="10"/>
      <c r="G62" s="10"/>
      <c r="H62" s="10"/>
      <c r="I62" s="10"/>
      <c r="J62" s="10"/>
    </row>
    <row r="63" spans="1:10" x14ac:dyDescent="0.2">
      <c r="A63" s="10"/>
      <c r="B63" s="10"/>
      <c r="C63" s="10"/>
      <c r="D63" s="10"/>
      <c r="E63" s="10"/>
      <c r="F63" s="10"/>
      <c r="G63" s="10"/>
      <c r="H63" s="10"/>
      <c r="I63" s="10"/>
      <c r="J63" s="10"/>
    </row>
    <row r="64" spans="1:10" x14ac:dyDescent="0.2">
      <c r="A64" s="10"/>
      <c r="B64" s="10"/>
      <c r="C64" s="10"/>
      <c r="D64" s="10"/>
      <c r="E64" s="10"/>
      <c r="F64" s="10"/>
      <c r="G64" s="10"/>
      <c r="H64" s="10"/>
      <c r="I64" s="10"/>
      <c r="J64" s="10"/>
    </row>
    <row r="65" spans="1:10" x14ac:dyDescent="0.2">
      <c r="A65" s="10"/>
      <c r="B65" s="10"/>
      <c r="C65" s="10"/>
      <c r="D65" s="10"/>
      <c r="E65" s="10"/>
      <c r="F65" s="10"/>
      <c r="G65" s="10"/>
      <c r="H65" s="10"/>
      <c r="I65" s="10"/>
      <c r="J65" s="10"/>
    </row>
    <row r="66" spans="1:10" x14ac:dyDescent="0.2">
      <c r="A66" s="10"/>
      <c r="B66" s="10"/>
      <c r="C66" s="10"/>
      <c r="D66" s="10"/>
      <c r="E66" s="10"/>
      <c r="F66" s="10"/>
      <c r="G66" s="10"/>
      <c r="H66" s="10"/>
      <c r="I66" s="10"/>
      <c r="J66" s="10"/>
    </row>
  </sheetData>
  <mergeCells count="19">
    <mergeCell ref="A43:J44"/>
    <mergeCell ref="A45:J45"/>
    <mergeCell ref="A46:J66"/>
    <mergeCell ref="A10:E20"/>
    <mergeCell ref="F10:J20"/>
    <mergeCell ref="A21:E31"/>
    <mergeCell ref="F21:J31"/>
    <mergeCell ref="A32:E42"/>
    <mergeCell ref="F32:J42"/>
    <mergeCell ref="C5:D7"/>
    <mergeCell ref="E5:F7"/>
    <mergeCell ref="G5:H7"/>
    <mergeCell ref="I5:J7"/>
    <mergeCell ref="A8:J9"/>
    <mergeCell ref="A4:J4"/>
    <mergeCell ref="A5:B7"/>
    <mergeCell ref="A1:J1"/>
    <mergeCell ref="A2:J2"/>
    <mergeCell ref="A3:J3"/>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11</vt:i4>
      </vt:variant>
    </vt:vector>
  </HeadingPairs>
  <TitlesOfParts>
    <vt:vector size="11" baseType="lpstr">
      <vt:lpstr>Inventory</vt:lpstr>
      <vt:lpstr>Product</vt:lpstr>
      <vt:lpstr>Pivot_Hours</vt:lpstr>
      <vt:lpstr>Production_Log</vt:lpstr>
      <vt:lpstr>Pivot_Pricing</vt:lpstr>
      <vt:lpstr>Pivot_Gap</vt:lpstr>
      <vt:lpstr>Engagement</vt:lpstr>
      <vt:lpstr>Pivot_CostStructure</vt:lpstr>
      <vt:lpstr>Pivot_Engagement</vt:lpstr>
      <vt:lpstr>Labor_Value_Gap</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Kailey Espinoza Tavera</dc:creator>
  <cp:lastModifiedBy>Kailey Espinoza Tavera</cp:lastModifiedBy>
  <dcterms:created xsi:type="dcterms:W3CDTF">2025-12-06T03:12:58Z</dcterms:created>
  <dcterms:modified xsi:type="dcterms:W3CDTF">2025-12-11T02:55:50Z</dcterms:modified>
</cp:coreProperties>
</file>